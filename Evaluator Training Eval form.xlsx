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preppublicschools-my.sharepoint.com/personal/kenneth_leventhal_yesprep_org/Documents/Umpire/BOD/Evaluations/2026/"/>
    </mc:Choice>
  </mc:AlternateContent>
  <xr:revisionPtr revIDLastSave="75" documentId="8_{00FD1A84-6ABC-467B-8E15-A2A8D1C0A10A}" xr6:coauthVersionLast="47" xr6:coauthVersionMax="47" xr10:uidLastSave="{0BA33ACF-5AA8-451D-A05E-A875A76D91AF}"/>
  <bookViews>
    <workbookView xWindow="-110" yWindow="-110" windowWidth="19420" windowHeight="11500" firstSheet="1" activeTab="2" xr2:uid="{111AB26A-8133-478F-8939-90C8EB567666}"/>
  </bookViews>
  <sheets>
    <sheet name="Instructions" sheetId="4" r:id="rId1"/>
    <sheet name="Scale Criteria" sheetId="2" r:id="rId2"/>
    <sheet name="Eval. &amp; Observ. Results" sheetId="9" r:id="rId3"/>
    <sheet name="Eval. &amp; Obser. Criteria" sheetId="1" state="hidden" r:id="rId4"/>
    <sheet name="Notes" sheetId="5" r:id="rId5"/>
    <sheet name="COMMENT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9" l="1"/>
  <c r="G66" i="9"/>
  <c r="E66" i="9"/>
  <c r="G55" i="9"/>
  <c r="E55" i="9"/>
  <c r="G44" i="9"/>
  <c r="F35" i="9"/>
  <c r="D35" i="9"/>
  <c r="H22" i="9"/>
  <c r="F22" i="9"/>
  <c r="F17" i="9"/>
  <c r="F7" i="9"/>
  <c r="D17" i="9"/>
  <c r="D7" i="9"/>
  <c r="E82" i="1"/>
  <c r="D84" i="9" l="1"/>
  <c r="D83" i="9"/>
  <c r="D82" i="9"/>
  <c r="E74" i="1"/>
  <c r="D104" i="1" s="1"/>
  <c r="E62" i="1"/>
  <c r="D42" i="1"/>
  <c r="F28" i="1"/>
  <c r="D21" i="1"/>
  <c r="D7" i="1"/>
  <c r="D85" i="9" l="1"/>
  <c r="D103" i="1"/>
  <c r="D102" i="1"/>
  <c r="D105" i="1" l="1"/>
</calcChain>
</file>

<file path=xl/sharedStrings.xml><?xml version="1.0" encoding="utf-8"?>
<sst xmlns="http://schemas.openxmlformats.org/spreadsheetml/2006/main" count="250" uniqueCount="194">
  <si>
    <t>PLATE WORK</t>
  </si>
  <si>
    <t>pitch is being delivered.  Complies with Box / Scissors stance in accordance with TASO guidelines.</t>
  </si>
  <si>
    <t xml:space="preserve">Umpire is not late getting into set position causing timing to change.  Is not moving to “set” position as </t>
  </si>
  <si>
    <t xml:space="preserve">Head does not move on pitches that are boarder-line location in the zone.  There is no dipping of the head     </t>
  </si>
  <si>
    <t xml:space="preserve">or lateral movement during the flight of the pitch.  The umpire does “track” the ball into the glove.  </t>
  </si>
  <si>
    <t xml:space="preserve">Umpire does not slide with the catcher to final position. </t>
  </si>
  <si>
    <t>Consistently calls balls and strikes fluently and consistently in accordance with TASO guidelines.</t>
  </si>
  <si>
    <t>Check swing mechanics</t>
  </si>
  <si>
    <t>Drop third strike mechanics</t>
  </si>
  <si>
    <r>
      <t>Strike-three signal is smooth and features the “Punch-out” or “Pulling-the-Chain” mechanic</t>
    </r>
    <r>
      <rPr>
        <b/>
        <sz val="10"/>
        <color theme="1"/>
        <rFont val="Arial"/>
        <family val="2"/>
      </rPr>
      <t>.</t>
    </r>
  </si>
  <si>
    <t>Consistently keeps aligned between batter and inside edge of home plate to ensure proper slot position</t>
  </si>
  <si>
    <t>and relationship with catcher and strike zone.</t>
  </si>
  <si>
    <t xml:space="preserve">Distinctive and noticeable difference in body language between strike call (fully erect) and ball call (crouch). </t>
  </si>
  <si>
    <t>Date:</t>
  </si>
  <si>
    <t>Venue:</t>
  </si>
  <si>
    <t>Evaluation of:</t>
  </si>
  <si>
    <t>Evaluator:</t>
  </si>
  <si>
    <t>Mechanics</t>
  </si>
  <si>
    <t>Timing</t>
  </si>
  <si>
    <t xml:space="preserve">“Lag time” interval is consistent for balls and strikes.  </t>
  </si>
  <si>
    <t xml:space="preserve">Does not call pitches quickly.  Does not signal strike until catcher has established control of catch. </t>
  </si>
  <si>
    <t>Timing is deliberate enough to allow umpire to distinguish between foul ball and foul tip.</t>
  </si>
  <si>
    <t>With a runner on first, there is extra volume added to ball four to ensure that the catcher does not throw</t>
  </si>
  <si>
    <t>to second base to retire runner who is awarded second base.</t>
  </si>
  <si>
    <t>Positioning and Communication</t>
  </si>
  <si>
    <t>Umpire consistently signals crewmate(s).</t>
  </si>
  <si>
    <t>Consistently trails BR up first-base line for obstruction/interference, swipe tag, or pulled foot situations.</t>
  </si>
  <si>
    <t>Taking the overthrow into foul territory (could be verbal communication)</t>
  </si>
  <si>
    <t>Umpire assumes proper position to observe and rule on forced play slide-rule interference plays.</t>
  </si>
  <si>
    <t>Umpire rotates fully to third base when needed and is stopped before critical action of the play.</t>
  </si>
  <si>
    <t>Consistently employs verbal communication when changing positions and when otherwise necessary.</t>
  </si>
  <si>
    <t>Establishes an angle on fly ball responsibilities.</t>
  </si>
  <si>
    <t xml:space="preserve">Foul fly ball responsibility between home and first. </t>
  </si>
  <si>
    <t xml:space="preserve">Correctly reads “swipe tag/collision tag” play at the plate and will assume proper distance and position    </t>
  </si>
  <si>
    <t>from action allowing for unobstructed view entire play (head to toe) including tag.</t>
  </si>
  <si>
    <t>BASE WORK</t>
  </si>
  <si>
    <t>Positioning</t>
  </si>
  <si>
    <t xml:space="preserve">U1 quickly assumes the proper angle when taking throws at first base from infielders. </t>
  </si>
  <si>
    <t>When making the call, the umpire is completely set before the critical action of the play.</t>
  </si>
  <si>
    <t>Is set when fielder gloves the batted ball and for play at first base.</t>
  </si>
  <si>
    <t xml:space="preserve">Re-adjusts position employing a “read step” or “lean and a look” technique as needed to rule on situations </t>
  </si>
  <si>
    <t>where throw is off-line.</t>
  </si>
  <si>
    <t>Assumes proper position to gain an angle to rule on plays at second and third.</t>
  </si>
  <si>
    <t>Does not chase runner into second or third.</t>
  </si>
  <si>
    <t>Has vision on the open side of the fielder receiving the throw.</t>
  </si>
  <si>
    <t xml:space="preserve">Displays full engagement by assuming an athletic stance/set before critical action (ball to glove-glove to tag). </t>
  </si>
  <si>
    <t>Makes secondary adjustment if needed before ruling on play</t>
  </si>
  <si>
    <t>BASE WORK (Continued)</t>
  </si>
  <si>
    <t>Sacrifices distance for angle and engagement when building a visual angle to the play.</t>
  </si>
  <si>
    <t>Uses proper lateral drift technique to be positioned to rule on any throw-back if B/R has placed himself in</t>
  </si>
  <si>
    <t>jeopardy after turning first base.  Umpire reacts to throw not the runner.</t>
  </si>
  <si>
    <t>Is positioned properly in B or C for plays at second or first.  For steals at second or third.</t>
  </si>
  <si>
    <t>U1 is square to the batter prior to pitch.</t>
  </si>
  <si>
    <t>Timing and Mechanics</t>
  </si>
  <si>
    <t xml:space="preserve">Routine out calls are consistently performed without animation and after all playing action has ceased.  </t>
  </si>
  <si>
    <t>Call not made until Voluntary and intentional release has been assured.</t>
  </si>
  <si>
    <t>On important, close and exciting plays (ICE), signals are performed forcefully and confidently.</t>
  </si>
  <si>
    <t>Uses “out” or “safe” signal on outfield or infield fly balls only when validity of the catch is in question.</t>
  </si>
  <si>
    <t>Uses “safe” signal to remove questions pertaining to interference and obstruction.</t>
  </si>
  <si>
    <t>Consistently signals partner(s) and employs verbal communication as needed.</t>
  </si>
  <si>
    <t xml:space="preserve">Signals on plays that have the potential of retiring the runner. </t>
  </si>
  <si>
    <t xml:space="preserve">Umpire uses secondary signals for believability (e.g. pulled foot, juggled ball, ball on ground, etc.).   </t>
  </si>
  <si>
    <t>Miscellaneous</t>
  </si>
  <si>
    <t>Rule Enforcement</t>
  </si>
  <si>
    <t xml:space="preserve">Balk calls are immediate and confident; combined with verbal and physical signal.  </t>
  </si>
  <si>
    <t>Enforce the force-play slide rule consistently and properly reposition runners if necessary</t>
  </si>
  <si>
    <t xml:space="preserve">Plate umpire enforces the “foot in box” rule by pointing the batter back into the box.   </t>
  </si>
  <si>
    <t>Plate umpire positions himself in proper position between innings and enforces warm-up pitch limits.</t>
  </si>
  <si>
    <r>
      <t>All other NFHS rules and interpretations are properly and consistently administered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without regard to </t>
    </r>
  </si>
  <si>
    <t>resulting adverse reactions.</t>
  </si>
  <si>
    <t>Game Management</t>
  </si>
  <si>
    <t>Listens to coach’s reasonable and non-emotional appeals.  Only allows head coach to dispute rulings</t>
  </si>
  <si>
    <t>In approved situations, umpires huddle when necessary to gather consensus on disputed play rulings</t>
  </si>
  <si>
    <t>Employs preventative officiating techniques without attracting attention.</t>
  </si>
  <si>
    <t>Employs “ignore, acknowledge, warn, restrict/eject” steps for handling continued objections.</t>
  </si>
  <si>
    <t xml:space="preserve">Umpire adheres to pace of play techniques. </t>
  </si>
  <si>
    <t xml:space="preserve">Umpire conducts proper pregame conference </t>
  </si>
  <si>
    <t xml:space="preserve">Umpires take control or initiate control over dugouts located along appropriate foul line.  Does not  </t>
  </si>
  <si>
    <t xml:space="preserve">exacerbate situations with overly aggressive or arrogant actions or display a condescending attitude. </t>
  </si>
  <si>
    <t xml:space="preserve">Does not ignore occurrences on the field that require attention to maintain order and control.  Will take   </t>
  </si>
  <si>
    <t xml:space="preserve">steps to diffuse these situations immediately to eliminate future reprisals.  </t>
  </si>
  <si>
    <t>Appearance and Professionalism</t>
  </si>
  <si>
    <t xml:space="preserve">Pants are of the proper shade of gray.  They are clean and pressed.  </t>
  </si>
  <si>
    <t xml:space="preserve">Shirt / jacket is not faded, and color is true.  Hat appears clean.  </t>
  </si>
  <si>
    <t>Shoes are cleaned and polished.</t>
  </si>
  <si>
    <t xml:space="preserve">Demeanor is athletic and aware.  </t>
  </si>
  <si>
    <t xml:space="preserve">Avoids excessive, or unnecessary conversation with uniformed personnel or spectators during the game. </t>
  </si>
  <si>
    <t>Plate Work Score</t>
  </si>
  <si>
    <t>Base Work Score</t>
  </si>
  <si>
    <t>Miscellaneous Score</t>
  </si>
  <si>
    <t>Overall Score</t>
  </si>
  <si>
    <t>Score:</t>
  </si>
  <si>
    <t>HTASO BASEBALL</t>
  </si>
  <si>
    <t>Umpire Evaluation Standards</t>
  </si>
  <si>
    <t>Grading Scale</t>
  </si>
  <si>
    <t>*Any area evaluated at 2 or below must have an accompanying comment.</t>
  </si>
  <si>
    <t>Outstanding – Never deviates from the listed standards.  All behavior descriptors are</t>
  </si>
  <si>
    <t xml:space="preserve">Above Standard – Seldom deviates from the listed standards.  All behavior </t>
  </si>
  <si>
    <t xml:space="preserve">descriptors are demonstrated but on an inconsistent basis. </t>
  </si>
  <si>
    <t>Meets Standard – Adheres to an acceptable level from the listed standards.  Most</t>
  </si>
  <si>
    <t>demonstrated consistently. *</t>
  </si>
  <si>
    <t>behavior descriptors are demonstrated.  Those behaviors omitted did not affect</t>
  </si>
  <si>
    <t xml:space="preserve">Below Standard – Occasionally deviates from the listed standards. Few behavior </t>
  </si>
  <si>
    <t xml:space="preserve">descriptors are demonstrated.  Inconsistent.  Omitted behaviors occasionally </t>
  </si>
  <si>
    <t>affected performance. *</t>
  </si>
  <si>
    <t>demonstrate described behaviors.  Game performance severely affected. *</t>
  </si>
  <si>
    <t>Positioning (Continued)</t>
  </si>
  <si>
    <t>EVALUATION INSTRUCTIONS</t>
  </si>
  <si>
    <t>*Any area evaluated at 5 must have an accompanying comment.</t>
  </si>
  <si>
    <t xml:space="preserve">EVALUATION SCALE CRITERIA </t>
  </si>
  <si>
    <t>EVALUATION NOTES</t>
  </si>
  <si>
    <t>Use the Evaluation Criteria as the guideline when performing an evaluation.  Do not try to record information</t>
  </si>
  <si>
    <t xml:space="preserve">on the form while evaluating.   Items or issues can be missed while evaluating, especially if the evaluation is </t>
  </si>
  <si>
    <t>performed on two umpires at the same time.  Use a notebook to record as much detailed information as</t>
  </si>
  <si>
    <t>possible during the evaluation.  Be sure to record items / issues performed per HTASO expectations as well</t>
  </si>
  <si>
    <t>as items / issues which can be adjusted so the umpire can perform his/her responsibilities per HTASO</t>
  </si>
  <si>
    <t xml:space="preserve">Unacceptable behaviors.  If time permits, discuss the notes with umpire/s.  If time does not permit.  Take a </t>
  </si>
  <si>
    <t>Let the umpire know that he/she will be contacted later that their ranking has been posted on the ZebraWeb</t>
  </si>
  <si>
    <t xml:space="preserve">expectations.  Acknowledge the Outstanding behaviors.  Acknowledge the Below Standard behaviors and the </t>
  </si>
  <si>
    <t>site.  Do not give them pass or fail information.  Use the notes and the Scale Criteria to fill in the Evaluation</t>
  </si>
  <si>
    <t>picture of the notes.  The notes will be used to fill in the Evaluation Criteria form.  Give the notes to the umpire.</t>
  </si>
  <si>
    <t>N/A</t>
  </si>
  <si>
    <t>SCORE</t>
  </si>
  <si>
    <t>COMMENT</t>
  </si>
  <si>
    <t>Head does not move on pitches that are border-line in the strike zone. There is no dipping of the head or lateral movement during the flight of the pitch. The umpire does "track" the ball into the glove.</t>
  </si>
  <si>
    <t>Often stayed down and leaned prior to "strike" or "ball" calls.</t>
  </si>
  <si>
    <t>Standing up much too quickly on "ball" calls</t>
  </si>
  <si>
    <t>Strike 3 mechanic awkward and to umpire's right side. Not looking forward to see post-pitch action.</t>
  </si>
  <si>
    <t>Strike-three signal is smooth and features the “Punch-out” or “Pulling-the-Chain” mechanic.</t>
  </si>
  <si>
    <t xml:space="preserve">Some Ball Field </t>
  </si>
  <si>
    <t>Out of 8</t>
  </si>
  <si>
    <t>Out of 4</t>
  </si>
  <si>
    <t>Out of 9</t>
  </si>
  <si>
    <t>Out of 13</t>
  </si>
  <si>
    <t>Out of 5</t>
  </si>
  <si>
    <t>Out of 10</t>
  </si>
  <si>
    <t>Pass or Fail</t>
  </si>
  <si>
    <t xml:space="preserve">Criteria form.  </t>
  </si>
  <si>
    <t xml:space="preserve">Send the completed evaluation form to me as soon as possible.  </t>
  </si>
  <si>
    <t>EVALUATION CRITERIA</t>
  </si>
  <si>
    <t>Your Name Here</t>
  </si>
  <si>
    <t>Umpire to be Evaluated</t>
  </si>
  <si>
    <t>Some Date in Time</t>
  </si>
  <si>
    <t>EXAMPLES:</t>
  </si>
  <si>
    <t>Umpire is not late getting into position and is not moving as pitch is delivered</t>
  </si>
  <si>
    <t xml:space="preserve">Head does not move while tracking pitches into catcher's glove   </t>
  </si>
  <si>
    <t xml:space="preserve">Umpire stays in the "SLOT" as their final position while tracking the pitch. </t>
  </si>
  <si>
    <t>Distinctive, noticeable, crisp and consistent called strike mechanic</t>
  </si>
  <si>
    <t>Consistently enforces strike zone consistently in accordance with TASO guidelines.</t>
  </si>
  <si>
    <t>Consistently keeps catcher and batter engaged in at bat</t>
  </si>
  <si>
    <t>Consistently employs proper Check swings and Dropped 3rd strike mechanics</t>
  </si>
  <si>
    <t>Plate Work Avg. Score</t>
  </si>
  <si>
    <t>Base Work Avg, Score</t>
  </si>
  <si>
    <t>Miscellaneous Avg. Score</t>
  </si>
  <si>
    <t>Overall Avg. Score</t>
  </si>
  <si>
    <t>Timing is deliberate enough to allow umpire to observe any movement from batter or catcher after pitch has been delivered.</t>
  </si>
  <si>
    <t>Hand signals mechanics are clear and consistent with all pre-pitch and other rulings</t>
  </si>
  <si>
    <t>Umpire assumes proper position to observe overthrows and/or rule on forced play slide-rule interference plays.</t>
  </si>
  <si>
    <t>Umpire rotates fully to third base when needed and is stopped near cutout before critical action of the play.</t>
  </si>
  <si>
    <t>Consistently employs verbal communication with partner when changing positions and when otherwise necessary.</t>
  </si>
  <si>
    <t>Vocalization is Clear and Consistent with both balls and strike calls using appropriate mechanics</t>
  </si>
  <si>
    <t>Consistently trails BR up first-base line for infield hits with no runners on base.</t>
  </si>
  <si>
    <t>Moves into best position to establish distance and angles on fly ball responsibilities.</t>
  </si>
  <si>
    <t xml:space="preserve">Demonstrates proper positioning and timing on calls for all plays at the plate.   </t>
  </si>
  <si>
    <t>Score</t>
  </si>
  <si>
    <t>Avg.</t>
  </si>
  <si>
    <t xml:space="preserve">Avg. </t>
  </si>
  <si>
    <t xml:space="preserve">Re-adjusts position as needed to rule on situations where throw is off-line.  </t>
  </si>
  <si>
    <t xml:space="preserve">Demonstrates proper mechanics (distance and angle) when taking throws at first base from infielders. </t>
  </si>
  <si>
    <t xml:space="preserve">Demonstates both verbal and physical Fair/Foul ball responsibility between home and 1st and home and 3rd bases. </t>
  </si>
  <si>
    <t>Assumes proper B position (distance and angle) to rule on all pick-off plays at 1st base.</t>
  </si>
  <si>
    <t>Assumes proper B &amp; C positions (distance and angle) to rule on all plays including steals at 2nd and 3rd base.</t>
  </si>
  <si>
    <t>Is in proper position and stance prior to the pitch.</t>
  </si>
  <si>
    <t>Demonstrates proper timing and mechanincs on routine safe/out plays.</t>
  </si>
  <si>
    <t>Demonstrates proper timing and mechanics on non-routine Important, Close and Exciting plays.</t>
  </si>
  <si>
    <t>Demonstrates proper timing and mechanics on flyball calls after Voluntary and intentional release has been assured.</t>
  </si>
  <si>
    <t>Proper use of head and eyes on a swivel to track batted balls and any plays to 1st, 2nd or 3rd bases.</t>
  </si>
  <si>
    <t>Proper use of verbal and non-verbal communication to enforce any ruling and consequences</t>
  </si>
  <si>
    <t>Consistently use verbal and hand signal communications to partner during pre-pitch routines.</t>
  </si>
  <si>
    <t>Umpire uses hands on knee type of set position during pitching delivery</t>
  </si>
  <si>
    <t>Plate umpire positions himself in proper position between innings.</t>
  </si>
  <si>
    <t>Enforces, Records and Communicates any substiutions or offensive/defensive conferences.</t>
  </si>
  <si>
    <t>PU facilitates all pregame plate meeting responsiblities</t>
  </si>
  <si>
    <t>Umpires take control or initiate control of coaches or players unsportsmanlike behaviors.</t>
  </si>
  <si>
    <t xml:space="preserve">Awareness of all occurrences on the field that require attention to maintain order and control.   </t>
  </si>
  <si>
    <t xml:space="preserve">Takes action to diffuse unsportsmanlike situations immediately to eliminate future reprisals.  </t>
  </si>
  <si>
    <t>Umpires conference when necessary to gather information and discuss possible rulings</t>
  </si>
  <si>
    <t xml:space="preserve">Is approachable and follows proper protocols to engages a coach during legitimate appeals.  </t>
  </si>
  <si>
    <t>Employs “ignore, acknowledge, warn, restrict/eject” protocols for handling continued objections.</t>
  </si>
  <si>
    <t xml:space="preserve">Plate umpire enforces all Pace of Play rules (i.e, batter's box &amp; warm-up pitch count.  </t>
  </si>
  <si>
    <t>Open to Feedback</t>
  </si>
  <si>
    <t>performance. Demonstrates ability to work Varsity level games</t>
  </si>
  <si>
    <t xml:space="preserve">Unsatisfactory – Consistently deviates from the listed standards.  Does not </t>
  </si>
  <si>
    <t>Strike-three timing and signal is Distinctive, Noticeable, Adament and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</si>
</sst>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2" xfId="0" applyFont="1" applyBorder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right"/>
    </xf>
    <xf numFmtId="1" fontId="3" fillId="0" borderId="0" xfId="0" applyNumberFormat="1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2" fontId="3" fillId="0" borderId="3" xfId="0" applyNumberFormat="1" applyFont="1" applyBorder="1"/>
    <xf numFmtId="2" fontId="3" fillId="0" borderId="0" xfId="0" applyNumberFormat="1" applyFont="1"/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/>
    </xf>
    <xf numFmtId="0" fontId="3" fillId="2" borderId="4" xfId="0" applyFont="1" applyFill="1" applyBorder="1" applyProtection="1">
      <protection locked="0"/>
    </xf>
    <xf numFmtId="1" fontId="3" fillId="2" borderId="4" xfId="0" applyNumberFormat="1" applyFont="1" applyFill="1" applyBorder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Protection="1">
      <protection locked="0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2" fontId="3" fillId="2" borderId="6" xfId="0" applyNumberFormat="1" applyFont="1" applyFill="1" applyBorder="1"/>
    <xf numFmtId="0" fontId="3" fillId="0" borderId="3" xfId="0" applyFont="1" applyBorder="1"/>
    <xf numFmtId="2" fontId="3" fillId="2" borderId="1" xfId="0" applyNumberFormat="1" applyFont="1" applyFill="1" applyBorder="1"/>
    <xf numFmtId="2" fontId="3" fillId="2" borderId="3" xfId="0" applyNumberFormat="1" applyFont="1" applyFill="1" applyBorder="1"/>
    <xf numFmtId="2" fontId="3" fillId="2" borderId="5" xfId="0" applyNumberFormat="1" applyFont="1" applyFill="1" applyBorder="1"/>
    <xf numFmtId="164" fontId="3" fillId="0" borderId="2" xfId="0" applyNumberFormat="1" applyFont="1" applyBorder="1" applyProtection="1">
      <protection locked="0"/>
    </xf>
    <xf numFmtId="164" fontId="0" fillId="0" borderId="2" xfId="0" applyNumberFormat="1" applyBorder="1" applyProtection="1">
      <protection locked="0"/>
    </xf>
    <xf numFmtId="0" fontId="3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1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DDC6-CB3E-4D27-B156-125426644F13}">
  <dimension ref="A1:A48"/>
  <sheetViews>
    <sheetView topLeftCell="A3" workbookViewId="0">
      <selection activeCell="D10" sqref="D10"/>
    </sheetView>
  </sheetViews>
  <sheetFormatPr defaultColWidth="9.1796875" defaultRowHeight="14" x14ac:dyDescent="0.3"/>
  <cols>
    <col min="1" max="1" width="101.7265625" style="1" customWidth="1"/>
    <col min="2" max="16384" width="9.1796875" style="1"/>
  </cols>
  <sheetData>
    <row r="1" spans="1:1" ht="25" customHeight="1" x14ac:dyDescent="0.3">
      <c r="A1" s="12" t="s">
        <v>92</v>
      </c>
    </row>
    <row r="2" spans="1:1" ht="25" customHeight="1" x14ac:dyDescent="0.3">
      <c r="A2" s="12" t="s">
        <v>107</v>
      </c>
    </row>
    <row r="3" spans="1:1" ht="25" customHeight="1" x14ac:dyDescent="0.3"/>
    <row r="4" spans="1:1" ht="25" customHeight="1" x14ac:dyDescent="0.3">
      <c r="A4" s="30" t="s">
        <v>111</v>
      </c>
    </row>
    <row r="5" spans="1:1" ht="25" customHeight="1" x14ac:dyDescent="0.3">
      <c r="A5" s="31" t="s">
        <v>112</v>
      </c>
    </row>
    <row r="6" spans="1:1" ht="25" customHeight="1" x14ac:dyDescent="0.3">
      <c r="A6" s="31" t="s">
        <v>113</v>
      </c>
    </row>
    <row r="7" spans="1:1" ht="25" customHeight="1" x14ac:dyDescent="0.3">
      <c r="A7" s="31" t="s">
        <v>114</v>
      </c>
    </row>
    <row r="8" spans="1:1" ht="25" customHeight="1" x14ac:dyDescent="0.3">
      <c r="A8" s="31" t="s">
        <v>115</v>
      </c>
    </row>
    <row r="9" spans="1:1" ht="25" customHeight="1" x14ac:dyDescent="0.3">
      <c r="A9" s="31" t="s">
        <v>118</v>
      </c>
    </row>
    <row r="10" spans="1:1" ht="25" customHeight="1" x14ac:dyDescent="0.3">
      <c r="A10" s="31" t="s">
        <v>116</v>
      </c>
    </row>
    <row r="11" spans="1:1" ht="25" customHeight="1" x14ac:dyDescent="0.3">
      <c r="A11" s="31" t="s">
        <v>120</v>
      </c>
    </row>
    <row r="12" spans="1:1" ht="25" customHeight="1" x14ac:dyDescent="0.3">
      <c r="A12" s="31" t="s">
        <v>117</v>
      </c>
    </row>
    <row r="13" spans="1:1" ht="25" customHeight="1" x14ac:dyDescent="0.3">
      <c r="A13" s="31" t="s">
        <v>119</v>
      </c>
    </row>
    <row r="14" spans="1:1" ht="25" customHeight="1" x14ac:dyDescent="0.3">
      <c r="A14" s="31" t="s">
        <v>137</v>
      </c>
    </row>
    <row r="15" spans="1:1" ht="25" customHeight="1" x14ac:dyDescent="0.3">
      <c r="A15" s="31"/>
    </row>
    <row r="16" spans="1:1" ht="25" customHeight="1" x14ac:dyDescent="0.3">
      <c r="A16" s="31" t="s">
        <v>138</v>
      </c>
    </row>
    <row r="17" spans="1:1" ht="25" customHeight="1" x14ac:dyDescent="0.3">
      <c r="A17" s="31"/>
    </row>
    <row r="18" spans="1:1" ht="25" customHeight="1" x14ac:dyDescent="0.3">
      <c r="A18" s="31"/>
    </row>
    <row r="19" spans="1:1" ht="25" customHeight="1" x14ac:dyDescent="0.3">
      <c r="A19" s="31"/>
    </row>
    <row r="20" spans="1:1" ht="25" customHeight="1" x14ac:dyDescent="0.3">
      <c r="A20" s="31"/>
    </row>
    <row r="21" spans="1:1" ht="25" customHeight="1" x14ac:dyDescent="0.3">
      <c r="A21" s="31"/>
    </row>
    <row r="22" spans="1:1" ht="25" customHeight="1" x14ac:dyDescent="0.3">
      <c r="A22" s="31"/>
    </row>
    <row r="23" spans="1:1" ht="25" customHeight="1" x14ac:dyDescent="0.3">
      <c r="A23" s="31"/>
    </row>
    <row r="24" spans="1:1" ht="25" customHeight="1" x14ac:dyDescent="0.3">
      <c r="A24" s="31"/>
    </row>
    <row r="25" spans="1:1" ht="25" customHeight="1" x14ac:dyDescent="0.3">
      <c r="A25" s="31"/>
    </row>
    <row r="26" spans="1:1" ht="25" customHeight="1" x14ac:dyDescent="0.3">
      <c r="A26" s="31"/>
    </row>
    <row r="27" spans="1:1" ht="25" customHeight="1" x14ac:dyDescent="0.3">
      <c r="A27" s="31"/>
    </row>
    <row r="28" spans="1:1" ht="25" customHeight="1" x14ac:dyDescent="0.3">
      <c r="A28" s="31"/>
    </row>
    <row r="29" spans="1:1" ht="25" customHeight="1" x14ac:dyDescent="0.3">
      <c r="A29" s="31"/>
    </row>
    <row r="30" spans="1:1" ht="15.5" x14ac:dyDescent="0.3">
      <c r="A30" s="14"/>
    </row>
    <row r="31" spans="1:1" ht="15.5" x14ac:dyDescent="0.3">
      <c r="A31" s="14"/>
    </row>
    <row r="32" spans="1:1" ht="15.5" x14ac:dyDescent="0.3">
      <c r="A32" s="14"/>
    </row>
    <row r="33" spans="1:1" ht="15.5" x14ac:dyDescent="0.3">
      <c r="A33" s="14"/>
    </row>
    <row r="34" spans="1:1" ht="15.5" x14ac:dyDescent="0.3">
      <c r="A34" s="14"/>
    </row>
    <row r="35" spans="1:1" ht="15.5" x14ac:dyDescent="0.3">
      <c r="A35" s="14"/>
    </row>
    <row r="36" spans="1:1" ht="15.5" x14ac:dyDescent="0.3">
      <c r="A36" s="14"/>
    </row>
    <row r="37" spans="1:1" ht="15.5" x14ac:dyDescent="0.3">
      <c r="A37" s="14"/>
    </row>
    <row r="38" spans="1:1" ht="15.5" x14ac:dyDescent="0.3">
      <c r="A38" s="14"/>
    </row>
    <row r="39" spans="1:1" ht="15.5" x14ac:dyDescent="0.3">
      <c r="A39" s="14"/>
    </row>
    <row r="40" spans="1:1" ht="15.5" x14ac:dyDescent="0.3">
      <c r="A40" s="14"/>
    </row>
    <row r="41" spans="1:1" ht="15.5" x14ac:dyDescent="0.3">
      <c r="A41" s="14"/>
    </row>
    <row r="42" spans="1:1" ht="15.5" x14ac:dyDescent="0.3">
      <c r="A42" s="14"/>
    </row>
    <row r="43" spans="1:1" ht="15.5" x14ac:dyDescent="0.3">
      <c r="A43" s="14"/>
    </row>
    <row r="44" spans="1:1" ht="15.5" x14ac:dyDescent="0.3">
      <c r="A44" s="14"/>
    </row>
    <row r="45" spans="1:1" ht="15.5" x14ac:dyDescent="0.3">
      <c r="A45" s="14"/>
    </row>
    <row r="46" spans="1:1" ht="15.5" x14ac:dyDescent="0.3">
      <c r="A46" s="14"/>
    </row>
    <row r="47" spans="1:1" ht="15.5" x14ac:dyDescent="0.3">
      <c r="A47" s="17"/>
    </row>
    <row r="48" spans="1:1" ht="15.5" x14ac:dyDescent="0.3">
      <c r="A48" s="17"/>
    </row>
  </sheetData>
  <sheetProtection algorithmName="SHA-512" hashValue="EVvd8EwCfANqyh/0V1/uz6JFkMAU5NbNCIV9+K/ZpCrCgSvJK3QkeRW53NEH4v8EhEwlA9lBcEn5kF0qijrXyw==" saltValue="NF13MjMIWC3CZgCATP/ifg==" spinCount="100000" sheet="1" objects="1" scenarios="1"/>
  <pageMargins left="0.25" right="0" top="0.7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E0ED-4B02-4860-83DE-ACB7FA166B4B}">
  <dimension ref="A1:H32"/>
  <sheetViews>
    <sheetView topLeftCell="A6" workbookViewId="0">
      <selection activeCell="L22" sqref="L22"/>
    </sheetView>
  </sheetViews>
  <sheetFormatPr defaultColWidth="9.1796875" defaultRowHeight="14" x14ac:dyDescent="0.3"/>
  <cols>
    <col min="1" max="16384" width="9.1796875" style="1"/>
  </cols>
  <sheetData>
    <row r="1" spans="1:8" ht="25" x14ac:dyDescent="0.3">
      <c r="F1" s="12" t="s">
        <v>92</v>
      </c>
    </row>
    <row r="2" spans="1:8" ht="25" x14ac:dyDescent="0.3">
      <c r="F2" s="12" t="s">
        <v>109</v>
      </c>
    </row>
    <row r="3" spans="1:8" ht="25" x14ac:dyDescent="0.3">
      <c r="H3" s="12"/>
    </row>
    <row r="4" spans="1:8" ht="20" x14ac:dyDescent="0.3">
      <c r="H4" s="13"/>
    </row>
    <row r="5" spans="1:8" ht="20" x14ac:dyDescent="0.3">
      <c r="A5" s="13" t="s">
        <v>93</v>
      </c>
    </row>
    <row r="6" spans="1:8" ht="15.5" x14ac:dyDescent="0.3">
      <c r="G6" s="14"/>
    </row>
    <row r="7" spans="1:8" ht="18" x14ac:dyDescent="0.3">
      <c r="F7" s="15" t="s">
        <v>94</v>
      </c>
    </row>
    <row r="8" spans="1:8" ht="18" x14ac:dyDescent="0.3">
      <c r="G8" s="15"/>
    </row>
    <row r="9" spans="1:8" ht="18" x14ac:dyDescent="0.4">
      <c r="A9" s="19">
        <v>1</v>
      </c>
      <c r="B9" s="14" t="s">
        <v>96</v>
      </c>
    </row>
    <row r="10" spans="1:8" ht="15.5" x14ac:dyDescent="0.3">
      <c r="B10" s="14" t="s">
        <v>100</v>
      </c>
    </row>
    <row r="11" spans="1:8" ht="15.5" x14ac:dyDescent="0.3">
      <c r="B11" s="14"/>
    </row>
    <row r="12" spans="1:8" ht="18" x14ac:dyDescent="0.4">
      <c r="A12" s="19">
        <v>2</v>
      </c>
      <c r="B12" s="14" t="s">
        <v>97</v>
      </c>
    </row>
    <row r="13" spans="1:8" ht="15.5" x14ac:dyDescent="0.3">
      <c r="B13" s="14" t="s">
        <v>98</v>
      </c>
    </row>
    <row r="14" spans="1:8" ht="15.5" x14ac:dyDescent="0.3">
      <c r="B14" s="14"/>
    </row>
    <row r="15" spans="1:8" ht="18" x14ac:dyDescent="0.4">
      <c r="A15" s="19">
        <v>3</v>
      </c>
      <c r="B15" s="14" t="s">
        <v>99</v>
      </c>
    </row>
    <row r="16" spans="1:8" ht="15.5" x14ac:dyDescent="0.3">
      <c r="B16" s="14" t="s">
        <v>101</v>
      </c>
    </row>
    <row r="17" spans="1:8" ht="15.5" x14ac:dyDescent="0.3">
      <c r="B17" s="14" t="s">
        <v>191</v>
      </c>
    </row>
    <row r="18" spans="1:8" ht="15.5" x14ac:dyDescent="0.3">
      <c r="B18" s="14"/>
    </row>
    <row r="19" spans="1:8" ht="18" x14ac:dyDescent="0.4">
      <c r="A19" s="19">
        <v>4</v>
      </c>
      <c r="B19" s="14" t="s">
        <v>102</v>
      </c>
    </row>
    <row r="20" spans="1:8" ht="15.5" x14ac:dyDescent="0.3">
      <c r="B20" s="14" t="s">
        <v>103</v>
      </c>
    </row>
    <row r="21" spans="1:8" ht="15.5" x14ac:dyDescent="0.3">
      <c r="B21" s="14" t="s">
        <v>104</v>
      </c>
    </row>
    <row r="22" spans="1:8" ht="15.5" x14ac:dyDescent="0.3">
      <c r="B22" s="14"/>
    </row>
    <row r="23" spans="1:8" ht="18" x14ac:dyDescent="0.4">
      <c r="A23" s="19">
        <v>5</v>
      </c>
      <c r="B23" s="14" t="s">
        <v>192</v>
      </c>
    </row>
    <row r="24" spans="1:8" ht="15.5" x14ac:dyDescent="0.3">
      <c r="B24" s="14" t="s">
        <v>105</v>
      </c>
    </row>
    <row r="25" spans="1:8" ht="15.5" x14ac:dyDescent="0.3">
      <c r="B25" s="14"/>
    </row>
    <row r="26" spans="1:8" ht="15.5" x14ac:dyDescent="0.3">
      <c r="B26" s="14"/>
    </row>
    <row r="27" spans="1:8" ht="15.5" x14ac:dyDescent="0.3">
      <c r="B27" s="17"/>
    </row>
    <row r="28" spans="1:8" ht="15.5" x14ac:dyDescent="0.3">
      <c r="B28" s="17"/>
    </row>
    <row r="29" spans="1:8" ht="18" x14ac:dyDescent="0.3">
      <c r="A29" s="16" t="s">
        <v>95</v>
      </c>
    </row>
    <row r="30" spans="1:8" ht="18" x14ac:dyDescent="0.3">
      <c r="A30" s="16" t="s">
        <v>108</v>
      </c>
    </row>
    <row r="31" spans="1:8" ht="15.5" x14ac:dyDescent="0.3">
      <c r="H31" s="14"/>
    </row>
    <row r="32" spans="1:8" ht="15.5" x14ac:dyDescent="0.3">
      <c r="H32" s="18"/>
    </row>
  </sheetData>
  <pageMargins left="0.35" right="0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F37F-F4DC-4A99-9542-1CFBBE9A26AA}">
  <dimension ref="A1:K86"/>
  <sheetViews>
    <sheetView tabSelected="1" topLeftCell="A63" workbookViewId="0">
      <selection activeCell="G83" sqref="G83"/>
    </sheetView>
  </sheetViews>
  <sheetFormatPr defaultColWidth="10.7265625" defaultRowHeight="15.5" x14ac:dyDescent="0.35"/>
  <cols>
    <col min="1" max="1" width="7.7265625" style="4" customWidth="1"/>
    <col min="2" max="2" width="7.453125" style="4" customWidth="1"/>
    <col min="3" max="3" width="14.7265625" style="4" customWidth="1"/>
    <col min="4" max="4" width="11.90625" style="4" customWidth="1"/>
    <col min="5" max="5" width="10" style="4" customWidth="1"/>
    <col min="6" max="6" width="10.7265625" style="4"/>
    <col min="7" max="7" width="10.7265625" style="4" customWidth="1"/>
    <col min="8" max="8" width="13.1796875" style="4" customWidth="1"/>
    <col min="9" max="9" width="15.7265625" style="4" customWidth="1"/>
    <col min="10" max="10" width="5.90625" style="4" customWidth="1"/>
    <col min="11" max="16384" width="10.7265625" style="4"/>
  </cols>
  <sheetData>
    <row r="1" spans="1:11" ht="15" customHeight="1" thickBot="1" x14ac:dyDescent="0.4">
      <c r="A1" s="2" t="s">
        <v>13</v>
      </c>
      <c r="B1" s="53" t="s">
        <v>142</v>
      </c>
      <c r="C1" s="54"/>
      <c r="F1" s="2" t="s">
        <v>14</v>
      </c>
      <c r="G1" s="3"/>
      <c r="H1" s="55" t="s">
        <v>129</v>
      </c>
      <c r="I1" s="56"/>
    </row>
    <row r="2" spans="1:11" ht="10" customHeight="1" x14ac:dyDescent="0.35"/>
    <row r="3" spans="1:11" ht="15" customHeight="1" thickBot="1" x14ac:dyDescent="0.4">
      <c r="A3" s="2" t="s">
        <v>15</v>
      </c>
      <c r="C3" s="55" t="s">
        <v>141</v>
      </c>
      <c r="D3" s="56"/>
      <c r="F3" s="2" t="s">
        <v>16</v>
      </c>
      <c r="H3" s="55" t="s">
        <v>140</v>
      </c>
      <c r="I3" s="56"/>
    </row>
    <row r="4" spans="1:11" ht="10" customHeight="1" x14ac:dyDescent="0.35"/>
    <row r="5" spans="1:11" ht="15" customHeight="1" x14ac:dyDescent="0.35">
      <c r="B5" s="6"/>
      <c r="C5" s="5"/>
      <c r="D5" s="5"/>
      <c r="E5" s="7" t="s">
        <v>0</v>
      </c>
      <c r="F5" s="5"/>
    </row>
    <row r="6" spans="1:11" ht="10" customHeight="1" x14ac:dyDescent="0.35"/>
    <row r="7" spans="1:11" ht="15" customHeight="1" x14ac:dyDescent="0.35">
      <c r="A7" s="2" t="s">
        <v>17</v>
      </c>
      <c r="C7" s="10" t="s">
        <v>164</v>
      </c>
      <c r="D7" s="22">
        <f>SUM(A8:A15)</f>
        <v>0</v>
      </c>
      <c r="E7" s="4" t="s">
        <v>165</v>
      </c>
      <c r="F7" s="24" t="e">
        <f>AVERAGE(A8:A15)</f>
        <v>#DIV/0!</v>
      </c>
      <c r="K7" s="21"/>
    </row>
    <row r="8" spans="1:11" ht="15" customHeight="1" x14ac:dyDescent="0.35">
      <c r="A8" s="26"/>
      <c r="B8" s="57" t="s">
        <v>144</v>
      </c>
      <c r="C8" s="58"/>
      <c r="D8" s="58"/>
      <c r="E8" s="58"/>
      <c r="F8" s="58"/>
      <c r="G8" s="58"/>
      <c r="H8" s="58"/>
      <c r="I8" s="58"/>
    </row>
    <row r="9" spans="1:11" ht="15" customHeight="1" x14ac:dyDescent="0.35">
      <c r="A9" s="26"/>
      <c r="B9" s="62" t="s">
        <v>145</v>
      </c>
      <c r="C9" s="62"/>
      <c r="D9" s="62"/>
      <c r="E9" s="62"/>
      <c r="F9" s="62"/>
      <c r="G9" s="62"/>
    </row>
    <row r="10" spans="1:11" ht="15" customHeight="1" x14ac:dyDescent="0.35">
      <c r="A10" s="26"/>
      <c r="B10" s="9" t="s">
        <v>146</v>
      </c>
    </row>
    <row r="11" spans="1:11" ht="15" customHeight="1" x14ac:dyDescent="0.35">
      <c r="A11" s="28"/>
      <c r="B11" s="62" t="s">
        <v>147</v>
      </c>
      <c r="C11" s="62"/>
      <c r="D11" s="62"/>
      <c r="E11" s="62"/>
      <c r="F11" s="62"/>
    </row>
    <row r="12" spans="1:11" ht="15" customHeight="1" x14ac:dyDescent="0.35">
      <c r="A12" s="28"/>
      <c r="B12" s="65" t="s">
        <v>193</v>
      </c>
      <c r="C12" s="61"/>
      <c r="D12" s="61"/>
      <c r="E12" s="61"/>
      <c r="F12" s="61"/>
      <c r="G12" s="61"/>
    </row>
    <row r="13" spans="1:11" ht="15" customHeight="1" x14ac:dyDescent="0.35">
      <c r="A13" s="28"/>
      <c r="B13" s="62" t="s">
        <v>148</v>
      </c>
      <c r="C13" s="62"/>
      <c r="D13" s="62"/>
      <c r="E13" s="62"/>
      <c r="F13" s="62"/>
      <c r="G13" s="62"/>
      <c r="H13" s="63"/>
    </row>
    <row r="14" spans="1:11" ht="15" customHeight="1" x14ac:dyDescent="0.35">
      <c r="A14" s="28"/>
      <c r="B14" s="9" t="s">
        <v>149</v>
      </c>
    </row>
    <row r="15" spans="1:11" ht="15" customHeight="1" x14ac:dyDescent="0.35">
      <c r="A15" s="26"/>
      <c r="B15" s="9" t="s">
        <v>150</v>
      </c>
    </row>
    <row r="16" spans="1:11" ht="10" customHeight="1" x14ac:dyDescent="0.35"/>
    <row r="17" spans="1:11" ht="15" customHeight="1" x14ac:dyDescent="0.35">
      <c r="A17" s="2" t="s">
        <v>18</v>
      </c>
      <c r="C17" s="10" t="s">
        <v>91</v>
      </c>
      <c r="D17" s="22">
        <f>SUM(A18:A20)</f>
        <v>0</v>
      </c>
      <c r="E17" s="4" t="s">
        <v>165</v>
      </c>
      <c r="F17" s="24" t="e">
        <f>AVERAGE(A18:A20)</f>
        <v>#DIV/0!</v>
      </c>
      <c r="K17" s="21"/>
    </row>
    <row r="18" spans="1:11" ht="15" customHeight="1" x14ac:dyDescent="0.35">
      <c r="A18" s="28"/>
      <c r="B18" s="62" t="s">
        <v>21</v>
      </c>
      <c r="C18" s="62"/>
      <c r="D18" s="62"/>
      <c r="E18" s="62"/>
      <c r="F18" s="62"/>
      <c r="G18" s="62"/>
      <c r="H18" s="62"/>
      <c r="I18" s="62"/>
      <c r="J18" s="62"/>
      <c r="K18" s="63"/>
    </row>
    <row r="19" spans="1:11" ht="15" customHeight="1" x14ac:dyDescent="0.35">
      <c r="A19" s="28"/>
      <c r="B19" s="62" t="s">
        <v>160</v>
      </c>
      <c r="C19" s="62"/>
      <c r="D19" s="62"/>
      <c r="E19" s="62"/>
      <c r="F19" s="62"/>
      <c r="G19" s="62"/>
      <c r="H19" s="62"/>
      <c r="I19" s="62"/>
      <c r="J19" s="62"/>
      <c r="K19" s="63"/>
    </row>
    <row r="20" spans="1:11" ht="15" customHeight="1" x14ac:dyDescent="0.35">
      <c r="A20" s="28"/>
      <c r="B20" s="62" t="s">
        <v>155</v>
      </c>
      <c r="C20" s="62"/>
      <c r="D20" s="62"/>
      <c r="E20" s="62"/>
      <c r="F20" s="62"/>
      <c r="G20" s="62"/>
      <c r="H20" s="62"/>
      <c r="I20" s="62"/>
      <c r="J20" s="62"/>
      <c r="K20" s="63"/>
    </row>
    <row r="21" spans="1:11" ht="10" customHeight="1" x14ac:dyDescent="0.35"/>
    <row r="22" spans="1:11" ht="15" customHeight="1" x14ac:dyDescent="0.35">
      <c r="A22" s="2" t="s">
        <v>24</v>
      </c>
      <c r="E22" s="10" t="s">
        <v>91</v>
      </c>
      <c r="F22" s="23">
        <f>SUM(A23:A30)</f>
        <v>0</v>
      </c>
      <c r="G22" s="4" t="s">
        <v>166</v>
      </c>
      <c r="H22" s="25" t="e">
        <f>AVERAGE(A23:A30)</f>
        <v>#DIV/0!</v>
      </c>
      <c r="K22" s="21"/>
    </row>
    <row r="23" spans="1:11" ht="15" customHeight="1" x14ac:dyDescent="0.35">
      <c r="A23" s="26"/>
      <c r="B23" s="62" t="s">
        <v>156</v>
      </c>
      <c r="C23" s="62"/>
      <c r="D23" s="62"/>
      <c r="E23" s="62"/>
      <c r="F23" s="62"/>
      <c r="G23" s="62"/>
    </row>
    <row r="24" spans="1:11" ht="15" customHeight="1" x14ac:dyDescent="0.35">
      <c r="A24" s="28"/>
      <c r="B24" s="62" t="s">
        <v>161</v>
      </c>
      <c r="C24" s="62"/>
      <c r="D24" s="62"/>
      <c r="E24" s="62"/>
      <c r="F24" s="62"/>
      <c r="G24" s="62"/>
    </row>
    <row r="25" spans="1:11" ht="15" customHeight="1" x14ac:dyDescent="0.35">
      <c r="A25" s="28"/>
      <c r="B25" s="61" t="s">
        <v>157</v>
      </c>
      <c r="C25" s="61"/>
      <c r="D25" s="61"/>
      <c r="E25" s="61"/>
      <c r="F25" s="61"/>
      <c r="G25" s="61"/>
      <c r="H25" s="61"/>
      <c r="I25" s="61"/>
    </row>
    <row r="26" spans="1:11" ht="15" customHeight="1" x14ac:dyDescent="0.35">
      <c r="A26" s="28"/>
      <c r="B26" s="9" t="s">
        <v>158</v>
      </c>
    </row>
    <row r="27" spans="1:11" ht="15" customHeight="1" x14ac:dyDescent="0.35">
      <c r="A27" s="28"/>
      <c r="B27" s="9" t="s">
        <v>159</v>
      </c>
    </row>
    <row r="28" spans="1:11" ht="15" customHeight="1" x14ac:dyDescent="0.35">
      <c r="A28" s="28"/>
      <c r="B28" s="61" t="s">
        <v>162</v>
      </c>
      <c r="C28" s="61"/>
      <c r="D28" s="61"/>
      <c r="E28" s="61"/>
      <c r="F28" s="61"/>
      <c r="G28" s="61"/>
      <c r="H28" s="61"/>
    </row>
    <row r="29" spans="1:11" ht="15" customHeight="1" x14ac:dyDescent="0.35">
      <c r="A29" s="28"/>
      <c r="B29" s="62" t="s">
        <v>169</v>
      </c>
      <c r="C29" s="62"/>
      <c r="D29" s="62"/>
      <c r="E29" s="62"/>
      <c r="F29" s="62"/>
      <c r="G29" s="62"/>
      <c r="H29" s="62"/>
      <c r="I29" s="62"/>
    </row>
    <row r="30" spans="1:11" ht="15" customHeight="1" x14ac:dyDescent="0.35">
      <c r="A30" s="28"/>
      <c r="B30" s="8" t="s">
        <v>163</v>
      </c>
    </row>
    <row r="31" spans="1:11" ht="15" customHeight="1" x14ac:dyDescent="0.35">
      <c r="A31" s="29"/>
      <c r="B31" s="8"/>
    </row>
    <row r="32" spans="1:11" ht="10" customHeight="1" x14ac:dyDescent="0.35"/>
    <row r="33" spans="1:11" ht="15" customHeight="1" x14ac:dyDescent="0.35">
      <c r="E33" s="7" t="s">
        <v>35</v>
      </c>
    </row>
    <row r="34" spans="1:11" ht="10" customHeight="1" x14ac:dyDescent="0.35">
      <c r="E34" s="7"/>
    </row>
    <row r="35" spans="1:11" ht="15" customHeight="1" x14ac:dyDescent="0.35">
      <c r="A35" s="2" t="s">
        <v>36</v>
      </c>
      <c r="C35" s="10" t="s">
        <v>91</v>
      </c>
      <c r="D35" s="22">
        <f>SUM(A36:A42)</f>
        <v>0</v>
      </c>
      <c r="E35" s="4" t="s">
        <v>166</v>
      </c>
      <c r="F35" s="24" t="e">
        <f>AVERAGE(A36:A42)</f>
        <v>#DIV/0!</v>
      </c>
      <c r="K35" s="21"/>
    </row>
    <row r="36" spans="1:11" ht="15" customHeight="1" x14ac:dyDescent="0.35">
      <c r="A36" s="26"/>
      <c r="B36" s="62" t="s">
        <v>168</v>
      </c>
      <c r="C36" s="62"/>
      <c r="D36" s="62"/>
      <c r="E36" s="62"/>
      <c r="F36" s="62"/>
      <c r="G36" s="62"/>
      <c r="H36" s="62"/>
      <c r="I36" s="62"/>
    </row>
    <row r="37" spans="1:11" ht="15" customHeight="1" x14ac:dyDescent="0.35">
      <c r="A37" s="28"/>
      <c r="B37" s="61" t="s">
        <v>167</v>
      </c>
      <c r="C37" s="61"/>
      <c r="D37" s="61"/>
      <c r="E37" s="61"/>
      <c r="F37" s="61"/>
      <c r="G37" s="61"/>
    </row>
    <row r="38" spans="1:11" ht="15" customHeight="1" x14ac:dyDescent="0.35">
      <c r="A38" s="28"/>
      <c r="B38" s="62" t="s">
        <v>172</v>
      </c>
      <c r="C38" s="62"/>
      <c r="D38" s="62"/>
      <c r="E38" s="62"/>
    </row>
    <row r="39" spans="1:11" ht="15" customHeight="1" x14ac:dyDescent="0.35">
      <c r="A39" s="26"/>
      <c r="B39" s="9" t="s">
        <v>170</v>
      </c>
    </row>
    <row r="40" spans="1:11" ht="15" customHeight="1" x14ac:dyDescent="0.35">
      <c r="A40" s="26"/>
      <c r="B40" s="9" t="s">
        <v>171</v>
      </c>
    </row>
    <row r="41" spans="1:11" ht="15.5" customHeight="1" x14ac:dyDescent="0.35">
      <c r="A41" s="28"/>
      <c r="B41" s="9" t="s">
        <v>45</v>
      </c>
    </row>
    <row r="42" spans="1:11" ht="15" customHeight="1" x14ac:dyDescent="0.35">
      <c r="A42" s="28"/>
      <c r="B42" s="8" t="s">
        <v>176</v>
      </c>
    </row>
    <row r="43" spans="1:11" ht="10" customHeight="1" x14ac:dyDescent="0.35"/>
    <row r="44" spans="1:11" ht="15" customHeight="1" x14ac:dyDescent="0.35">
      <c r="A44" s="2" t="s">
        <v>53</v>
      </c>
      <c r="D44" s="4" t="s">
        <v>91</v>
      </c>
      <c r="E44" s="21">
        <f>SUM(A45:A50)</f>
        <v>0</v>
      </c>
      <c r="F44" s="22" t="s">
        <v>166</v>
      </c>
      <c r="G44" s="24" t="e">
        <f>AVERAGE(A45:A50)</f>
        <v>#DIV/0!</v>
      </c>
      <c r="K44" s="21"/>
    </row>
    <row r="45" spans="1:11" ht="15" customHeight="1" x14ac:dyDescent="0.35">
      <c r="A45" s="26"/>
      <c r="B45" s="62" t="s">
        <v>173</v>
      </c>
      <c r="C45" s="62"/>
      <c r="D45" s="62"/>
      <c r="E45" s="62"/>
      <c r="F45" s="62"/>
      <c r="G45" s="62"/>
      <c r="H45" s="62"/>
      <c r="I45" s="62"/>
    </row>
    <row r="46" spans="1:11" ht="15" customHeight="1" x14ac:dyDescent="0.35">
      <c r="A46" s="28"/>
      <c r="B46" s="62" t="s">
        <v>174</v>
      </c>
      <c r="C46" s="62"/>
      <c r="D46" s="62"/>
      <c r="E46" s="62"/>
      <c r="F46" s="62"/>
      <c r="G46" s="62"/>
      <c r="H46" s="62"/>
      <c r="I46" s="62"/>
    </row>
    <row r="47" spans="1:11" ht="15" customHeight="1" x14ac:dyDescent="0.35">
      <c r="A47" s="28"/>
      <c r="B47" s="62" t="s">
        <v>175</v>
      </c>
      <c r="C47" s="62"/>
      <c r="D47" s="62"/>
      <c r="E47" s="62"/>
      <c r="F47" s="62"/>
      <c r="G47" s="62"/>
      <c r="H47" s="62"/>
      <c r="I47" s="62"/>
    </row>
    <row r="48" spans="1:11" ht="15" customHeight="1" x14ac:dyDescent="0.35">
      <c r="A48" s="28"/>
      <c r="B48" s="65" t="s">
        <v>61</v>
      </c>
      <c r="C48" s="61"/>
      <c r="D48" s="61"/>
      <c r="E48" s="61"/>
      <c r="F48" s="61"/>
      <c r="G48" s="61"/>
      <c r="H48" s="61"/>
    </row>
    <row r="49" spans="1:11" ht="15" customHeight="1" x14ac:dyDescent="0.35">
      <c r="A49" s="26"/>
      <c r="B49" s="64" t="s">
        <v>179</v>
      </c>
      <c r="C49" s="62"/>
      <c r="D49" s="62"/>
      <c r="E49" s="62"/>
      <c r="F49" s="62"/>
      <c r="G49" s="62"/>
    </row>
    <row r="50" spans="1:11" ht="15" customHeight="1" x14ac:dyDescent="0.35">
      <c r="A50" s="28"/>
      <c r="B50" s="8" t="s">
        <v>178</v>
      </c>
    </row>
    <row r="51" spans="1:11" ht="15" customHeight="1" x14ac:dyDescent="0.35">
      <c r="A51" s="27"/>
    </row>
    <row r="52" spans="1:11" ht="10" customHeight="1" x14ac:dyDescent="0.35"/>
    <row r="53" spans="1:11" ht="15" customHeight="1" x14ac:dyDescent="0.35">
      <c r="E53" s="7" t="s">
        <v>62</v>
      </c>
    </row>
    <row r="54" spans="1:11" ht="10" customHeight="1" x14ac:dyDescent="0.35"/>
    <row r="55" spans="1:11" ht="15" customHeight="1" x14ac:dyDescent="0.35">
      <c r="A55" s="2" t="s">
        <v>63</v>
      </c>
      <c r="D55" s="10" t="s">
        <v>91</v>
      </c>
      <c r="E55" s="22">
        <f>SUM(A56:A63)</f>
        <v>0</v>
      </c>
      <c r="F55" s="4" t="s">
        <v>165</v>
      </c>
      <c r="G55" s="24" t="e">
        <f>AVERAGE(A56:A63)</f>
        <v>#DIV/0!</v>
      </c>
      <c r="K55" s="21"/>
    </row>
    <row r="56" spans="1:11" ht="15" customHeight="1" x14ac:dyDescent="0.35">
      <c r="A56" s="26"/>
      <c r="B56" s="61" t="s">
        <v>64</v>
      </c>
      <c r="C56" s="61"/>
      <c r="D56" s="61"/>
      <c r="E56" s="61"/>
      <c r="F56" s="61"/>
      <c r="G56" s="61"/>
    </row>
    <row r="57" spans="1:11" ht="15" customHeight="1" x14ac:dyDescent="0.35">
      <c r="A57" s="28"/>
      <c r="B57" s="9" t="s">
        <v>65</v>
      </c>
    </row>
    <row r="58" spans="1:11" ht="15" customHeight="1" x14ac:dyDescent="0.35">
      <c r="A58" s="28"/>
      <c r="B58" s="62" t="s">
        <v>189</v>
      </c>
      <c r="C58" s="62"/>
      <c r="D58" s="62"/>
      <c r="E58" s="62"/>
      <c r="F58" s="62"/>
      <c r="G58" s="62"/>
      <c r="H58" s="62"/>
    </row>
    <row r="59" spans="1:11" ht="15" customHeight="1" x14ac:dyDescent="0.35">
      <c r="A59" s="28"/>
      <c r="B59" s="9" t="s">
        <v>57</v>
      </c>
    </row>
    <row r="60" spans="1:11" ht="15" customHeight="1" x14ac:dyDescent="0.35">
      <c r="A60" s="28"/>
      <c r="B60" s="8" t="s">
        <v>58</v>
      </c>
    </row>
    <row r="61" spans="1:11" ht="15" customHeight="1" x14ac:dyDescent="0.35">
      <c r="A61" s="28"/>
      <c r="B61" s="64" t="s">
        <v>177</v>
      </c>
      <c r="C61" s="62"/>
      <c r="D61" s="62"/>
      <c r="E61" s="62"/>
      <c r="F61" s="62"/>
      <c r="G61" s="62"/>
      <c r="H61" s="62"/>
    </row>
    <row r="62" spans="1:11" ht="15" customHeight="1" x14ac:dyDescent="0.35">
      <c r="A62" s="28"/>
      <c r="B62" s="9" t="s">
        <v>181</v>
      </c>
    </row>
    <row r="63" spans="1:11" ht="15" customHeight="1" x14ac:dyDescent="0.35">
      <c r="A63" s="28"/>
      <c r="B63" s="61" t="s">
        <v>183</v>
      </c>
      <c r="C63" s="61"/>
      <c r="D63" s="61"/>
      <c r="E63" s="61"/>
      <c r="F63" s="61"/>
      <c r="G63" s="61"/>
      <c r="H63" s="61"/>
    </row>
    <row r="64" spans="1:11" ht="15" customHeight="1" x14ac:dyDescent="0.35">
      <c r="A64" s="29"/>
    </row>
    <row r="65" spans="1:11" ht="10" customHeight="1" x14ac:dyDescent="0.35"/>
    <row r="66" spans="1:11" ht="15" customHeight="1" x14ac:dyDescent="0.35">
      <c r="A66" s="2" t="s">
        <v>70</v>
      </c>
      <c r="B66"/>
      <c r="D66" s="4" t="s">
        <v>91</v>
      </c>
      <c r="E66" s="22">
        <f>SUM(A67:A74)</f>
        <v>0</v>
      </c>
      <c r="F66" s="4" t="s">
        <v>165</v>
      </c>
      <c r="G66" s="24" t="e">
        <f>AVERAGE(A67:A74)</f>
        <v>#DIV/0!</v>
      </c>
      <c r="K66" s="21"/>
    </row>
    <row r="67" spans="1:11" ht="15" customHeight="1" x14ac:dyDescent="0.35">
      <c r="A67" s="26"/>
      <c r="B67" s="62" t="s">
        <v>182</v>
      </c>
      <c r="C67" s="62"/>
      <c r="D67" s="62"/>
      <c r="E67" s="62"/>
    </row>
    <row r="68" spans="1:11" ht="15" customHeight="1" x14ac:dyDescent="0.35">
      <c r="A68" s="26"/>
      <c r="B68" s="61" t="s">
        <v>184</v>
      </c>
      <c r="C68" s="61"/>
      <c r="D68" s="61"/>
      <c r="E68" s="61"/>
      <c r="F68" s="61"/>
      <c r="G68" s="61"/>
      <c r="H68" s="61"/>
    </row>
    <row r="69" spans="1:11" ht="15" customHeight="1" x14ac:dyDescent="0.35">
      <c r="A69" s="26"/>
      <c r="B69" s="9" t="s">
        <v>180</v>
      </c>
    </row>
    <row r="70" spans="1:11" ht="15" customHeight="1" x14ac:dyDescent="0.35">
      <c r="A70" s="28"/>
      <c r="B70" s="61" t="s">
        <v>185</v>
      </c>
      <c r="C70" s="61"/>
      <c r="D70" s="61"/>
      <c r="E70" s="61"/>
      <c r="F70" s="61"/>
      <c r="G70" s="61"/>
      <c r="H70" s="61"/>
    </row>
    <row r="71" spans="1:11" ht="15" customHeight="1" x14ac:dyDescent="0.35">
      <c r="A71" s="28"/>
      <c r="B71" s="9" t="s">
        <v>187</v>
      </c>
    </row>
    <row r="72" spans="1:11" ht="15" customHeight="1" x14ac:dyDescent="0.35">
      <c r="A72" s="28"/>
      <c r="B72" s="9" t="s">
        <v>186</v>
      </c>
    </row>
    <row r="73" spans="1:11" ht="15" customHeight="1" x14ac:dyDescent="0.35">
      <c r="A73" s="28"/>
      <c r="B73" s="61" t="s">
        <v>188</v>
      </c>
      <c r="C73" s="61"/>
      <c r="D73" s="61"/>
      <c r="E73" s="61"/>
      <c r="F73" s="61"/>
      <c r="G73" s="61"/>
      <c r="H73" s="61"/>
    </row>
    <row r="74" spans="1:11" ht="15" customHeight="1" x14ac:dyDescent="0.35">
      <c r="A74" s="28"/>
      <c r="B74" s="9" t="s">
        <v>86</v>
      </c>
    </row>
    <row r="75" spans="1:11" ht="10" customHeight="1" x14ac:dyDescent="0.35"/>
    <row r="76" spans="1:11" ht="15" customHeight="1" x14ac:dyDescent="0.35">
      <c r="A76" s="2" t="s">
        <v>81</v>
      </c>
      <c r="E76" s="43" t="s">
        <v>136</v>
      </c>
      <c r="F76" s="21"/>
      <c r="H76" s="42"/>
      <c r="K76" s="21"/>
    </row>
    <row r="77" spans="1:11" ht="15" customHeight="1" x14ac:dyDescent="0.35">
      <c r="A77" s="26"/>
      <c r="B77" s="9" t="s">
        <v>82</v>
      </c>
    </row>
    <row r="78" spans="1:11" ht="15" customHeight="1" x14ac:dyDescent="0.35">
      <c r="A78" s="28"/>
      <c r="B78" s="9" t="s">
        <v>83</v>
      </c>
    </row>
    <row r="79" spans="1:11" ht="15" customHeight="1" x14ac:dyDescent="0.35">
      <c r="A79" s="28"/>
      <c r="B79" s="9" t="s">
        <v>84</v>
      </c>
    </row>
    <row r="80" spans="1:11" ht="15" customHeight="1" x14ac:dyDescent="0.35">
      <c r="A80" s="28"/>
      <c r="B80" s="9" t="s">
        <v>85</v>
      </c>
    </row>
    <row r="81" spans="1:4" x14ac:dyDescent="0.35">
      <c r="A81" s="49"/>
      <c r="B81" s="9" t="s">
        <v>190</v>
      </c>
    </row>
    <row r="82" spans="1:4" ht="15" customHeight="1" x14ac:dyDescent="0.35">
      <c r="A82" s="2" t="s">
        <v>151</v>
      </c>
      <c r="D82" s="50" t="e">
        <f>AVERAGE(F7,F17,H22)</f>
        <v>#DIV/0!</v>
      </c>
    </row>
    <row r="83" spans="1:4" ht="15" customHeight="1" x14ac:dyDescent="0.35">
      <c r="A83" s="2" t="s">
        <v>152</v>
      </c>
      <c r="D83" s="51" t="e">
        <f>AVERAGE(F35,G44)</f>
        <v>#DIV/0!</v>
      </c>
    </row>
    <row r="84" spans="1:4" ht="15" customHeight="1" thickBot="1" x14ac:dyDescent="0.4">
      <c r="A84" s="2" t="s">
        <v>153</v>
      </c>
      <c r="D84" s="52" t="e">
        <f>AVERAGE(G55,G66)</f>
        <v>#DIV/0!</v>
      </c>
    </row>
    <row r="85" spans="1:4" ht="15" customHeight="1" thickBot="1" x14ac:dyDescent="0.4">
      <c r="A85" s="2" t="s">
        <v>154</v>
      </c>
      <c r="D85" s="48" t="e">
        <f>AVERAGE(D82:D84)</f>
        <v>#DIV/0!</v>
      </c>
    </row>
    <row r="86" spans="1:4" ht="15" customHeight="1" x14ac:dyDescent="0.35"/>
  </sheetData>
  <mergeCells count="5">
    <mergeCell ref="B1:C1"/>
    <mergeCell ref="H1:I1"/>
    <mergeCell ref="C3:D3"/>
    <mergeCell ref="H3:I3"/>
    <mergeCell ref="B8:I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2B94-DF71-4549-A0B7-C21128C1CE5F}">
  <dimension ref="A1:K106"/>
  <sheetViews>
    <sheetView workbookViewId="0">
      <selection activeCell="K10" sqref="K10"/>
    </sheetView>
  </sheetViews>
  <sheetFormatPr defaultColWidth="10.7265625" defaultRowHeight="20.149999999999999" customHeight="1" x14ac:dyDescent="0.35"/>
  <cols>
    <col min="1" max="1" width="7.7265625" style="4" customWidth="1"/>
    <col min="2" max="2" width="7.453125" style="4" customWidth="1"/>
    <col min="3" max="4" width="14.7265625" style="4" customWidth="1"/>
    <col min="5" max="5" width="5.7265625" style="4" customWidth="1"/>
    <col min="6" max="6" width="10.7265625" style="4"/>
    <col min="7" max="7" width="1.7265625" style="4" customWidth="1"/>
    <col min="8" max="9" width="15.7265625" style="4" customWidth="1"/>
    <col min="10" max="16384" width="10.7265625" style="4"/>
  </cols>
  <sheetData>
    <row r="1" spans="1:11" ht="15" customHeight="1" thickBot="1" x14ac:dyDescent="0.4">
      <c r="A1" s="2" t="s">
        <v>13</v>
      </c>
      <c r="B1" s="53" t="s">
        <v>142</v>
      </c>
      <c r="C1" s="54"/>
      <c r="F1" s="2" t="s">
        <v>14</v>
      </c>
      <c r="G1" s="3"/>
      <c r="H1" s="55" t="s">
        <v>129</v>
      </c>
      <c r="I1" s="56"/>
    </row>
    <row r="2" spans="1:11" ht="10" customHeight="1" x14ac:dyDescent="0.35"/>
    <row r="3" spans="1:11" ht="15" customHeight="1" thickBot="1" x14ac:dyDescent="0.4">
      <c r="A3" s="2" t="s">
        <v>15</v>
      </c>
      <c r="C3" s="55" t="s">
        <v>141</v>
      </c>
      <c r="D3" s="56"/>
      <c r="F3" s="2" t="s">
        <v>16</v>
      </c>
      <c r="H3" s="55" t="s">
        <v>140</v>
      </c>
      <c r="I3" s="56"/>
    </row>
    <row r="4" spans="1:11" ht="10" customHeight="1" x14ac:dyDescent="0.35"/>
    <row r="5" spans="1:11" ht="15" customHeight="1" x14ac:dyDescent="0.35">
      <c r="B5" s="6"/>
      <c r="C5" s="5"/>
      <c r="D5" s="5"/>
      <c r="E5" s="7" t="s">
        <v>0</v>
      </c>
      <c r="F5" s="5"/>
    </row>
    <row r="6" spans="1:11" ht="10" customHeight="1" x14ac:dyDescent="0.35"/>
    <row r="7" spans="1:11" ht="15" customHeight="1" x14ac:dyDescent="0.35">
      <c r="A7" s="2" t="s">
        <v>17</v>
      </c>
      <c r="C7" s="10" t="s">
        <v>91</v>
      </c>
      <c r="D7" s="22" t="str">
        <f>IFERROR(+SUM(A8:A19)/F7,"")</f>
        <v/>
      </c>
      <c r="F7" s="24"/>
      <c r="H7" s="4" t="s">
        <v>130</v>
      </c>
      <c r="K7" s="21"/>
    </row>
    <row r="8" spans="1:11" ht="15" customHeight="1" x14ac:dyDescent="0.35">
      <c r="A8" s="26">
        <v>0</v>
      </c>
      <c r="B8" s="57" t="s">
        <v>2</v>
      </c>
      <c r="C8" s="58"/>
      <c r="D8" s="58"/>
      <c r="E8" s="58"/>
      <c r="F8" s="58"/>
      <c r="G8" s="58"/>
      <c r="H8" s="58"/>
      <c r="I8" s="58"/>
    </row>
    <row r="9" spans="1:11" ht="15" customHeight="1" x14ac:dyDescent="0.35">
      <c r="A9" s="27">
        <v>0</v>
      </c>
      <c r="B9" s="59" t="s">
        <v>1</v>
      </c>
      <c r="C9" s="60"/>
      <c r="D9" s="60"/>
      <c r="E9" s="60"/>
      <c r="F9" s="60"/>
      <c r="G9" s="60"/>
      <c r="H9" s="60"/>
      <c r="I9" s="60"/>
    </row>
    <row r="10" spans="1:11" ht="15" customHeight="1" x14ac:dyDescent="0.35">
      <c r="A10" s="26">
        <v>0</v>
      </c>
      <c r="B10" s="9" t="s">
        <v>3</v>
      </c>
    </row>
    <row r="11" spans="1:11" ht="15" customHeight="1" x14ac:dyDescent="0.35">
      <c r="A11" s="27">
        <v>0</v>
      </c>
      <c r="B11" s="9" t="s">
        <v>4</v>
      </c>
    </row>
    <row r="12" spans="1:11" ht="15" customHeight="1" x14ac:dyDescent="0.35">
      <c r="A12" s="26">
        <v>0</v>
      </c>
      <c r="B12" s="9" t="s">
        <v>5</v>
      </c>
    </row>
    <row r="13" spans="1:11" ht="15" customHeight="1" x14ac:dyDescent="0.35">
      <c r="A13" s="28">
        <v>0</v>
      </c>
      <c r="B13" s="9" t="s">
        <v>12</v>
      </c>
    </row>
    <row r="14" spans="1:11" ht="15" customHeight="1" x14ac:dyDescent="0.35">
      <c r="A14" s="28">
        <v>0</v>
      </c>
      <c r="B14" s="8" t="s">
        <v>9</v>
      </c>
    </row>
    <row r="15" spans="1:11" ht="15" customHeight="1" x14ac:dyDescent="0.35">
      <c r="A15" s="28">
        <v>0</v>
      </c>
      <c r="B15" s="9" t="s">
        <v>6</v>
      </c>
    </row>
    <row r="16" spans="1:11" ht="15" customHeight="1" x14ac:dyDescent="0.35">
      <c r="A16" s="28">
        <v>0</v>
      </c>
      <c r="B16" s="9" t="s">
        <v>10</v>
      </c>
    </row>
    <row r="17" spans="1:11" ht="15" customHeight="1" x14ac:dyDescent="0.35">
      <c r="A17" s="27"/>
      <c r="B17" s="9" t="s">
        <v>11</v>
      </c>
    </row>
    <row r="18" spans="1:11" ht="15" customHeight="1" x14ac:dyDescent="0.35">
      <c r="A18" s="26">
        <v>0</v>
      </c>
      <c r="B18" s="9" t="s">
        <v>7</v>
      </c>
    </row>
    <row r="19" spans="1:11" ht="15" customHeight="1" x14ac:dyDescent="0.35">
      <c r="A19" s="28" t="s">
        <v>121</v>
      </c>
      <c r="B19" s="8" t="s">
        <v>8</v>
      </c>
    </row>
    <row r="20" spans="1:11" ht="10" customHeight="1" x14ac:dyDescent="0.35"/>
    <row r="21" spans="1:11" ht="15" customHeight="1" x14ac:dyDescent="0.35">
      <c r="A21" s="2" t="s">
        <v>18</v>
      </c>
      <c r="C21" s="10" t="s">
        <v>91</v>
      </c>
      <c r="D21" s="22">
        <f>IFERROR(+SUM(A22:A25)/F21,"")</f>
        <v>0</v>
      </c>
      <c r="F21" s="24">
        <v>4</v>
      </c>
      <c r="H21" s="4" t="s">
        <v>131</v>
      </c>
      <c r="K21" s="21"/>
    </row>
    <row r="22" spans="1:11" ht="15" customHeight="1" x14ac:dyDescent="0.35">
      <c r="A22" s="26">
        <v>0</v>
      </c>
      <c r="B22" s="9" t="s">
        <v>19</v>
      </c>
    </row>
    <row r="23" spans="1:11" ht="15" customHeight="1" x14ac:dyDescent="0.35">
      <c r="A23" s="28">
        <v>0</v>
      </c>
      <c r="B23" s="9" t="s">
        <v>20</v>
      </c>
    </row>
    <row r="24" spans="1:11" ht="15" customHeight="1" x14ac:dyDescent="0.35">
      <c r="A24" s="28">
        <v>0</v>
      </c>
      <c r="B24" s="9" t="s">
        <v>21</v>
      </c>
    </row>
    <row r="25" spans="1:11" ht="15" customHeight="1" x14ac:dyDescent="0.35">
      <c r="A25" s="28">
        <v>0</v>
      </c>
      <c r="B25" s="8" t="s">
        <v>22</v>
      </c>
    </row>
    <row r="26" spans="1:11" ht="15" customHeight="1" x14ac:dyDescent="0.35">
      <c r="A26" s="29"/>
      <c r="B26" s="9" t="s">
        <v>23</v>
      </c>
    </row>
    <row r="27" spans="1:11" ht="10" customHeight="1" x14ac:dyDescent="0.35"/>
    <row r="28" spans="1:11" ht="15" customHeight="1" x14ac:dyDescent="0.35">
      <c r="A28" s="2" t="s">
        <v>24</v>
      </c>
      <c r="E28" s="10" t="s">
        <v>91</v>
      </c>
      <c r="F28" s="23">
        <f>IFERROR(+SUM(A29:A37)/H28,"")</f>
        <v>0</v>
      </c>
      <c r="H28" s="25">
        <v>5</v>
      </c>
      <c r="I28" s="4" t="s">
        <v>132</v>
      </c>
      <c r="K28" s="21"/>
    </row>
    <row r="29" spans="1:11" ht="15" customHeight="1" x14ac:dyDescent="0.35">
      <c r="A29" s="26">
        <v>0</v>
      </c>
      <c r="B29" s="9" t="s">
        <v>25</v>
      </c>
    </row>
    <row r="30" spans="1:11" ht="15" customHeight="1" x14ac:dyDescent="0.35">
      <c r="A30" s="28">
        <v>0</v>
      </c>
      <c r="B30" s="9" t="s">
        <v>26</v>
      </c>
    </row>
    <row r="31" spans="1:11" ht="15" customHeight="1" x14ac:dyDescent="0.35">
      <c r="A31" s="28">
        <v>0</v>
      </c>
      <c r="B31" s="9" t="s">
        <v>27</v>
      </c>
    </row>
    <row r="32" spans="1:11" ht="15" customHeight="1" x14ac:dyDescent="0.35">
      <c r="A32" s="28">
        <v>0</v>
      </c>
      <c r="B32" s="9" t="s">
        <v>28</v>
      </c>
    </row>
    <row r="33" spans="1:11" ht="15" customHeight="1" x14ac:dyDescent="0.35">
      <c r="A33" s="28">
        <v>0</v>
      </c>
      <c r="B33" s="9" t="s">
        <v>29</v>
      </c>
    </row>
    <row r="34" spans="1:11" ht="15" customHeight="1" x14ac:dyDescent="0.35">
      <c r="A34" s="28">
        <v>0</v>
      </c>
      <c r="B34" s="9" t="s">
        <v>30</v>
      </c>
    </row>
    <row r="35" spans="1:11" ht="15" customHeight="1" x14ac:dyDescent="0.35">
      <c r="A35" s="28">
        <v>0</v>
      </c>
      <c r="B35" s="9" t="s">
        <v>31</v>
      </c>
    </row>
    <row r="36" spans="1:11" ht="15" customHeight="1" x14ac:dyDescent="0.35">
      <c r="A36" s="28">
        <v>0</v>
      </c>
      <c r="B36" s="9" t="s">
        <v>32</v>
      </c>
    </row>
    <row r="37" spans="1:11" ht="15" customHeight="1" x14ac:dyDescent="0.35">
      <c r="A37" s="28">
        <v>0</v>
      </c>
      <c r="B37" s="8" t="s">
        <v>33</v>
      </c>
    </row>
    <row r="38" spans="1:11" ht="15" customHeight="1" x14ac:dyDescent="0.35">
      <c r="A38" s="29"/>
      <c r="B38" s="8" t="s">
        <v>34</v>
      </c>
    </row>
    <row r="39" spans="1:11" ht="10" customHeight="1" x14ac:dyDescent="0.35"/>
    <row r="40" spans="1:11" ht="15" customHeight="1" x14ac:dyDescent="0.35">
      <c r="E40" s="7" t="s">
        <v>35</v>
      </c>
    </row>
    <row r="41" spans="1:11" ht="10" customHeight="1" x14ac:dyDescent="0.35">
      <c r="E41" s="7"/>
    </row>
    <row r="42" spans="1:11" ht="15" customHeight="1" x14ac:dyDescent="0.35">
      <c r="A42" s="2" t="s">
        <v>36</v>
      </c>
      <c r="C42" s="10" t="s">
        <v>91</v>
      </c>
      <c r="D42" s="22">
        <f>IFERROR(+SUM(A43:A60)/F42,"")</f>
        <v>0</v>
      </c>
      <c r="F42" s="24">
        <v>12</v>
      </c>
      <c r="H42" s="4" t="s">
        <v>133</v>
      </c>
      <c r="K42" s="21"/>
    </row>
    <row r="43" spans="1:11" ht="15" customHeight="1" x14ac:dyDescent="0.35">
      <c r="A43" s="26">
        <v>0</v>
      </c>
      <c r="B43" s="9" t="s">
        <v>37</v>
      </c>
    </row>
    <row r="44" spans="1:11" ht="15" customHeight="1" x14ac:dyDescent="0.35">
      <c r="A44" s="28">
        <v>0</v>
      </c>
      <c r="B44" s="9" t="s">
        <v>38</v>
      </c>
    </row>
    <row r="45" spans="1:11" ht="15" customHeight="1" x14ac:dyDescent="0.35">
      <c r="A45" s="28">
        <v>0</v>
      </c>
      <c r="B45" s="8" t="s">
        <v>39</v>
      </c>
    </row>
    <row r="46" spans="1:11" ht="15" customHeight="1" x14ac:dyDescent="0.35">
      <c r="A46" s="28">
        <v>0</v>
      </c>
      <c r="B46" s="9" t="s">
        <v>40</v>
      </c>
    </row>
    <row r="47" spans="1:11" ht="15" customHeight="1" x14ac:dyDescent="0.35">
      <c r="A47" s="27"/>
      <c r="B47" s="9" t="s">
        <v>41</v>
      </c>
    </row>
    <row r="48" spans="1:11" ht="15" customHeight="1" x14ac:dyDescent="0.35">
      <c r="A48" s="26">
        <v>0</v>
      </c>
      <c r="B48" s="9" t="s">
        <v>42</v>
      </c>
    </row>
    <row r="49" spans="1:11" ht="20.149999999999999" customHeight="1" x14ac:dyDescent="0.35">
      <c r="A49" s="28">
        <v>0</v>
      </c>
      <c r="B49" s="9" t="s">
        <v>43</v>
      </c>
    </row>
    <row r="50" spans="1:11" ht="20.149999999999999" customHeight="1" x14ac:dyDescent="0.35">
      <c r="A50" s="28">
        <v>0</v>
      </c>
      <c r="B50" s="9" t="s">
        <v>44</v>
      </c>
    </row>
    <row r="51" spans="1:11" ht="20.149999999999999" customHeight="1" x14ac:dyDescent="0.35">
      <c r="A51" s="28">
        <v>0</v>
      </c>
      <c r="B51" s="9" t="s">
        <v>45</v>
      </c>
    </row>
    <row r="52" spans="1:11" ht="20.149999999999999" customHeight="1" x14ac:dyDescent="0.35">
      <c r="A52" s="28">
        <v>0</v>
      </c>
      <c r="B52" s="8" t="s">
        <v>46</v>
      </c>
    </row>
    <row r="53" spans="1:11" ht="20.149999999999999" customHeight="1" x14ac:dyDescent="0.35">
      <c r="E53" s="7" t="s">
        <v>47</v>
      </c>
    </row>
    <row r="54" spans="1:11" ht="10" customHeight="1" x14ac:dyDescent="0.35"/>
    <row r="55" spans="1:11" ht="15" customHeight="1" x14ac:dyDescent="0.35">
      <c r="A55" s="2" t="s">
        <v>106</v>
      </c>
      <c r="C55" s="10"/>
      <c r="D55" s="11"/>
    </row>
    <row r="56" spans="1:11" ht="15" customHeight="1" x14ac:dyDescent="0.35">
      <c r="A56" s="26">
        <v>0</v>
      </c>
      <c r="B56" s="9" t="s">
        <v>48</v>
      </c>
    </row>
    <row r="57" spans="1:11" ht="15" customHeight="1" x14ac:dyDescent="0.35">
      <c r="A57" s="28">
        <v>0</v>
      </c>
      <c r="B57" s="8" t="s">
        <v>49</v>
      </c>
    </row>
    <row r="58" spans="1:11" ht="15" customHeight="1" x14ac:dyDescent="0.35">
      <c r="A58" s="27"/>
      <c r="B58" s="8" t="s">
        <v>50</v>
      </c>
    </row>
    <row r="59" spans="1:11" ht="15" customHeight="1" x14ac:dyDescent="0.35">
      <c r="A59" s="26">
        <v>0</v>
      </c>
      <c r="B59" s="8" t="s">
        <v>51</v>
      </c>
    </row>
    <row r="60" spans="1:11" ht="15" customHeight="1" x14ac:dyDescent="0.35">
      <c r="A60" s="28">
        <v>0</v>
      </c>
      <c r="B60" s="9" t="s">
        <v>52</v>
      </c>
    </row>
    <row r="61" spans="1:11" ht="10" customHeight="1" x14ac:dyDescent="0.35"/>
    <row r="62" spans="1:11" ht="15" customHeight="1" x14ac:dyDescent="0.35">
      <c r="A62" s="2" t="s">
        <v>53</v>
      </c>
      <c r="D62" s="4" t="s">
        <v>91</v>
      </c>
      <c r="E62" s="22">
        <f>IFERROR(+SUM(A63:A70)/H62,"")</f>
        <v>0</v>
      </c>
      <c r="H62" s="24">
        <v>5</v>
      </c>
      <c r="I62" s="4" t="s">
        <v>130</v>
      </c>
      <c r="K62" s="21"/>
    </row>
    <row r="63" spans="1:11" ht="15" customHeight="1" x14ac:dyDescent="0.35">
      <c r="A63" s="26">
        <v>0</v>
      </c>
      <c r="B63" s="9" t="s">
        <v>54</v>
      </c>
    </row>
    <row r="64" spans="1:11" ht="15" customHeight="1" x14ac:dyDescent="0.35">
      <c r="A64" s="28">
        <v>0</v>
      </c>
      <c r="B64" s="9" t="s">
        <v>55</v>
      </c>
    </row>
    <row r="65" spans="1:11" ht="15" customHeight="1" x14ac:dyDescent="0.35">
      <c r="A65" s="28">
        <v>0</v>
      </c>
      <c r="B65" s="9" t="s">
        <v>56</v>
      </c>
    </row>
    <row r="66" spans="1:11" ht="15" customHeight="1" x14ac:dyDescent="0.35">
      <c r="A66" s="28">
        <v>0</v>
      </c>
      <c r="B66" s="9" t="s">
        <v>57</v>
      </c>
    </row>
    <row r="67" spans="1:11" ht="15" customHeight="1" x14ac:dyDescent="0.35">
      <c r="A67" s="28">
        <v>0</v>
      </c>
      <c r="B67" s="8" t="s">
        <v>61</v>
      </c>
    </row>
    <row r="68" spans="1:11" ht="15" customHeight="1" x14ac:dyDescent="0.35">
      <c r="A68" s="28">
        <v>0</v>
      </c>
      <c r="B68" s="8" t="s">
        <v>58</v>
      </c>
    </row>
    <row r="69" spans="1:11" ht="15" customHeight="1" x14ac:dyDescent="0.35">
      <c r="A69" s="26">
        <v>0</v>
      </c>
      <c r="B69" s="8" t="s">
        <v>59</v>
      </c>
    </row>
    <row r="70" spans="1:11" ht="15" customHeight="1" x14ac:dyDescent="0.35">
      <c r="A70" s="28">
        <v>0</v>
      </c>
      <c r="B70" s="8" t="s">
        <v>60</v>
      </c>
    </row>
    <row r="71" spans="1:11" ht="10" customHeight="1" x14ac:dyDescent="0.35"/>
    <row r="72" spans="1:11" ht="15" customHeight="1" x14ac:dyDescent="0.35">
      <c r="E72" s="7" t="s">
        <v>62</v>
      </c>
    </row>
    <row r="73" spans="1:11" ht="10" customHeight="1" x14ac:dyDescent="0.35"/>
    <row r="74" spans="1:11" ht="15" customHeight="1" x14ac:dyDescent="0.35">
      <c r="A74" s="2" t="s">
        <v>63</v>
      </c>
      <c r="D74" s="10" t="s">
        <v>91</v>
      </c>
      <c r="E74" s="22">
        <f>IFERROR(+SUM(A75:A79)/H74,"")</f>
        <v>0</v>
      </c>
      <c r="H74" s="24">
        <v>3</v>
      </c>
      <c r="I74" s="4" t="s">
        <v>134</v>
      </c>
      <c r="K74" s="21"/>
    </row>
    <row r="75" spans="1:11" ht="15" customHeight="1" x14ac:dyDescent="0.35">
      <c r="A75" s="26">
        <v>0</v>
      </c>
      <c r="B75" s="9" t="s">
        <v>64</v>
      </c>
    </row>
    <row r="76" spans="1:11" ht="15" customHeight="1" x14ac:dyDescent="0.35">
      <c r="A76" s="28">
        <v>0</v>
      </c>
      <c r="B76" s="9" t="s">
        <v>65</v>
      </c>
    </row>
    <row r="77" spans="1:11" ht="15" customHeight="1" x14ac:dyDescent="0.35">
      <c r="A77" s="28">
        <v>0</v>
      </c>
      <c r="B77" s="9" t="s">
        <v>66</v>
      </c>
    </row>
    <row r="78" spans="1:11" ht="15" customHeight="1" x14ac:dyDescent="0.35">
      <c r="A78" s="28">
        <v>0</v>
      </c>
      <c r="B78" s="9" t="s">
        <v>67</v>
      </c>
    </row>
    <row r="79" spans="1:11" ht="15" customHeight="1" x14ac:dyDescent="0.35">
      <c r="A79" s="28">
        <v>0</v>
      </c>
      <c r="B79" s="8" t="s">
        <v>68</v>
      </c>
    </row>
    <row r="80" spans="1:11" ht="15" customHeight="1" x14ac:dyDescent="0.35">
      <c r="A80" s="29"/>
      <c r="B80" t="s">
        <v>69</v>
      </c>
    </row>
    <row r="81" spans="1:11" ht="10" customHeight="1" x14ac:dyDescent="0.35"/>
    <row r="82" spans="1:11" ht="15" customHeight="1" x14ac:dyDescent="0.35">
      <c r="A82" s="2" t="s">
        <v>70</v>
      </c>
      <c r="B82"/>
      <c r="D82" s="4" t="s">
        <v>91</v>
      </c>
      <c r="E82" s="22">
        <f>IFERROR(+SUM(A83:A93)/H82,"")</f>
        <v>0</v>
      </c>
      <c r="H82" s="24">
        <v>5</v>
      </c>
      <c r="I82" s="4" t="s">
        <v>135</v>
      </c>
      <c r="K82" s="21"/>
    </row>
    <row r="83" spans="1:11" ht="15" customHeight="1" x14ac:dyDescent="0.35">
      <c r="A83" s="26">
        <v>0</v>
      </c>
      <c r="B83" s="9" t="s">
        <v>76</v>
      </c>
    </row>
    <row r="84" spans="1:11" ht="15" customHeight="1" x14ac:dyDescent="0.35">
      <c r="A84" s="28">
        <v>0</v>
      </c>
      <c r="B84" s="9" t="s">
        <v>77</v>
      </c>
    </row>
    <row r="85" spans="1:11" ht="15" customHeight="1" x14ac:dyDescent="0.35">
      <c r="A85" s="27">
        <v>0</v>
      </c>
      <c r="B85" s="9" t="s">
        <v>78</v>
      </c>
    </row>
    <row r="86" spans="1:11" ht="15" customHeight="1" x14ac:dyDescent="0.35">
      <c r="A86" s="26">
        <v>0</v>
      </c>
      <c r="B86" s="9" t="s">
        <v>79</v>
      </c>
    </row>
    <row r="87" spans="1:11" ht="15" customHeight="1" x14ac:dyDescent="0.35">
      <c r="A87" s="28"/>
      <c r="B87" s="9" t="s">
        <v>80</v>
      </c>
    </row>
    <row r="88" spans="1:11" ht="15" customHeight="1" x14ac:dyDescent="0.35">
      <c r="A88" s="28">
        <v>0</v>
      </c>
      <c r="B88" s="9" t="s">
        <v>71</v>
      </c>
    </row>
    <row r="89" spans="1:11" ht="15" customHeight="1" x14ac:dyDescent="0.35">
      <c r="A89" s="28">
        <v>0</v>
      </c>
      <c r="B89" s="9" t="s">
        <v>72</v>
      </c>
    </row>
    <row r="90" spans="1:11" ht="15" customHeight="1" x14ac:dyDescent="0.35">
      <c r="A90" s="28">
        <v>0</v>
      </c>
      <c r="B90" s="9" t="s">
        <v>73</v>
      </c>
    </row>
    <row r="91" spans="1:11" ht="15" customHeight="1" x14ac:dyDescent="0.35">
      <c r="A91" s="28">
        <v>0</v>
      </c>
      <c r="B91" s="9" t="s">
        <v>74</v>
      </c>
    </row>
    <row r="92" spans="1:11" ht="15" customHeight="1" x14ac:dyDescent="0.35">
      <c r="A92" s="28">
        <v>0</v>
      </c>
      <c r="B92" s="9" t="s">
        <v>75</v>
      </c>
    </row>
    <row r="93" spans="1:11" ht="15" customHeight="1" x14ac:dyDescent="0.35">
      <c r="A93" s="28">
        <v>0</v>
      </c>
      <c r="B93" s="9" t="s">
        <v>86</v>
      </c>
    </row>
    <row r="94" spans="1:11" ht="10" customHeight="1" x14ac:dyDescent="0.35"/>
    <row r="95" spans="1:11" ht="10" customHeight="1" x14ac:dyDescent="0.35"/>
    <row r="96" spans="1:11" ht="15" customHeight="1" x14ac:dyDescent="0.35">
      <c r="A96" s="2" t="s">
        <v>81</v>
      </c>
      <c r="E96" s="43" t="s">
        <v>136</v>
      </c>
      <c r="F96" s="21"/>
      <c r="H96" s="42"/>
      <c r="K96" s="21"/>
    </row>
    <row r="97" spans="1:4" ht="15" customHeight="1" x14ac:dyDescent="0.35">
      <c r="A97" s="26">
        <v>0</v>
      </c>
      <c r="B97" s="9" t="s">
        <v>82</v>
      </c>
    </row>
    <row r="98" spans="1:4" ht="15" customHeight="1" x14ac:dyDescent="0.35">
      <c r="A98" s="28">
        <v>0</v>
      </c>
      <c r="B98" s="9" t="s">
        <v>83</v>
      </c>
    </row>
    <row r="99" spans="1:4" ht="15" customHeight="1" x14ac:dyDescent="0.35">
      <c r="A99" s="28">
        <v>0</v>
      </c>
      <c r="B99" s="9" t="s">
        <v>84</v>
      </c>
    </row>
    <row r="100" spans="1:4" ht="15" customHeight="1" x14ac:dyDescent="0.35">
      <c r="A100" s="28">
        <v>0</v>
      </c>
      <c r="B100" s="9" t="s">
        <v>85</v>
      </c>
    </row>
    <row r="102" spans="1:4" ht="15" customHeight="1" x14ac:dyDescent="0.35">
      <c r="A102" s="2" t="s">
        <v>87</v>
      </c>
      <c r="D102" s="22" t="str">
        <f>IFERROR((+D7+D21+F28)/3,"")</f>
        <v/>
      </c>
    </row>
    <row r="103" spans="1:4" ht="15" customHeight="1" x14ac:dyDescent="0.35">
      <c r="A103" s="2" t="s">
        <v>88</v>
      </c>
      <c r="D103" s="20">
        <f>IFERROR((D42+E62)/2,"")</f>
        <v>0</v>
      </c>
    </row>
    <row r="104" spans="1:4" ht="15" customHeight="1" x14ac:dyDescent="0.35">
      <c r="A104" s="2" t="s">
        <v>89</v>
      </c>
      <c r="D104" s="20">
        <f>IFERROR((E74+E82)/2,"")</f>
        <v>0</v>
      </c>
    </row>
    <row r="105" spans="1:4" ht="15" customHeight="1" x14ac:dyDescent="0.35">
      <c r="A105" s="2" t="s">
        <v>90</v>
      </c>
      <c r="D105" s="20" t="str">
        <f>IFERROR((D102+D103+D104)/3,"")</f>
        <v/>
      </c>
    </row>
    <row r="106" spans="1:4" ht="15" customHeight="1" x14ac:dyDescent="0.35"/>
  </sheetData>
  <sheetProtection algorithmName="SHA-512" hashValue="f+betgBFeyJaEe2+lBXVKE0XZtxDYMjIBwBLkRvE2uXD9MEv73FX+L384z5F/6J2xaHmbliLeMCNRd0Ba5EN3g==" saltValue="YkT9glKZRjo9RTfEePOR+w==" spinCount="100000" sheet="1" objects="1" scenarios="1"/>
  <mergeCells count="6">
    <mergeCell ref="B8:I8"/>
    <mergeCell ref="B9:I9"/>
    <mergeCell ref="B1:C1"/>
    <mergeCell ref="C3:D3"/>
    <mergeCell ref="H3:I3"/>
    <mergeCell ref="H1:I1"/>
  </mergeCells>
  <pageMargins left="0.25" right="0" top="0.25" bottom="0.2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663A-784E-4CFF-A119-08EA6F7D50E0}">
  <dimension ref="A1:A48"/>
  <sheetViews>
    <sheetView workbookViewId="0">
      <selection activeCell="A5" sqref="A5"/>
    </sheetView>
  </sheetViews>
  <sheetFormatPr defaultColWidth="9.1796875" defaultRowHeight="14" x14ac:dyDescent="0.3"/>
  <cols>
    <col min="1" max="1" width="100.7265625" style="1" customWidth="1"/>
    <col min="2" max="16384" width="9.1796875" style="1"/>
  </cols>
  <sheetData>
    <row r="1" spans="1:1" ht="25" customHeight="1" x14ac:dyDescent="0.3">
      <c r="A1" s="12" t="s">
        <v>92</v>
      </c>
    </row>
    <row r="2" spans="1:1" ht="25" customHeight="1" x14ac:dyDescent="0.3">
      <c r="A2" s="12" t="s">
        <v>110</v>
      </c>
    </row>
    <row r="3" spans="1:1" ht="25" customHeight="1" x14ac:dyDescent="0.3"/>
    <row r="4" spans="1:1" ht="25" customHeight="1" x14ac:dyDescent="0.3">
      <c r="A4" s="30"/>
    </row>
    <row r="5" spans="1:1" ht="25" customHeight="1" x14ac:dyDescent="0.3">
      <c r="A5" s="31"/>
    </row>
    <row r="6" spans="1:1" ht="25" customHeight="1" x14ac:dyDescent="0.3">
      <c r="A6" s="31"/>
    </row>
    <row r="7" spans="1:1" ht="25" customHeight="1" x14ac:dyDescent="0.3">
      <c r="A7" s="31"/>
    </row>
    <row r="8" spans="1:1" ht="25" customHeight="1" x14ac:dyDescent="0.3">
      <c r="A8" s="31"/>
    </row>
    <row r="9" spans="1:1" ht="25" customHeight="1" x14ac:dyDescent="0.3">
      <c r="A9" s="31"/>
    </row>
    <row r="10" spans="1:1" ht="25" customHeight="1" x14ac:dyDescent="0.3">
      <c r="A10" s="31"/>
    </row>
    <row r="11" spans="1:1" ht="25" customHeight="1" x14ac:dyDescent="0.3">
      <c r="A11" s="31"/>
    </row>
    <row r="12" spans="1:1" ht="25" customHeight="1" x14ac:dyDescent="0.3">
      <c r="A12" s="31"/>
    </row>
    <row r="13" spans="1:1" ht="25" customHeight="1" x14ac:dyDescent="0.3">
      <c r="A13" s="31"/>
    </row>
    <row r="14" spans="1:1" ht="25" customHeight="1" x14ac:dyDescent="0.3">
      <c r="A14" s="31"/>
    </row>
    <row r="15" spans="1:1" ht="25" customHeight="1" x14ac:dyDescent="0.3">
      <c r="A15" s="31"/>
    </row>
    <row r="16" spans="1:1" ht="25" customHeight="1" x14ac:dyDescent="0.3">
      <c r="A16" s="31"/>
    </row>
    <row r="17" spans="1:1" ht="25" customHeight="1" x14ac:dyDescent="0.3">
      <c r="A17" s="31"/>
    </row>
    <row r="18" spans="1:1" ht="25" customHeight="1" x14ac:dyDescent="0.3">
      <c r="A18" s="31"/>
    </row>
    <row r="19" spans="1:1" ht="25" customHeight="1" x14ac:dyDescent="0.3">
      <c r="A19" s="31"/>
    </row>
    <row r="20" spans="1:1" ht="25" customHeight="1" x14ac:dyDescent="0.3">
      <c r="A20" s="31"/>
    </row>
    <row r="21" spans="1:1" ht="25" customHeight="1" x14ac:dyDescent="0.3">
      <c r="A21" s="31"/>
    </row>
    <row r="22" spans="1:1" ht="25" customHeight="1" x14ac:dyDescent="0.3">
      <c r="A22" s="31"/>
    </row>
    <row r="23" spans="1:1" ht="25" customHeight="1" x14ac:dyDescent="0.3">
      <c r="A23" s="31"/>
    </row>
    <row r="24" spans="1:1" ht="25" customHeight="1" x14ac:dyDescent="0.3">
      <c r="A24" s="31"/>
    </row>
    <row r="25" spans="1:1" ht="25" customHeight="1" x14ac:dyDescent="0.3">
      <c r="A25" s="31"/>
    </row>
    <row r="26" spans="1:1" ht="25" customHeight="1" x14ac:dyDescent="0.3">
      <c r="A26" s="31"/>
    </row>
    <row r="27" spans="1:1" ht="25" customHeight="1" x14ac:dyDescent="0.3">
      <c r="A27" s="31"/>
    </row>
    <row r="28" spans="1:1" ht="25" customHeight="1" x14ac:dyDescent="0.3">
      <c r="A28" s="31"/>
    </row>
    <row r="29" spans="1:1" ht="25" customHeight="1" x14ac:dyDescent="0.3">
      <c r="A29" s="31"/>
    </row>
    <row r="30" spans="1:1" ht="15.5" x14ac:dyDescent="0.3">
      <c r="A30" s="14"/>
    </row>
    <row r="31" spans="1:1" ht="15.5" x14ac:dyDescent="0.3">
      <c r="A31" s="14"/>
    </row>
    <row r="32" spans="1:1" ht="15.5" x14ac:dyDescent="0.3">
      <c r="A32" s="14"/>
    </row>
    <row r="33" spans="1:1" ht="15.5" x14ac:dyDescent="0.3">
      <c r="A33" s="14"/>
    </row>
    <row r="34" spans="1:1" ht="15.5" x14ac:dyDescent="0.3">
      <c r="A34" s="14"/>
    </row>
    <row r="35" spans="1:1" ht="15.5" x14ac:dyDescent="0.3">
      <c r="A35" s="14"/>
    </row>
    <row r="36" spans="1:1" ht="15.5" x14ac:dyDescent="0.3">
      <c r="A36" s="14"/>
    </row>
    <row r="37" spans="1:1" ht="15.5" x14ac:dyDescent="0.3">
      <c r="A37" s="14"/>
    </row>
    <row r="38" spans="1:1" ht="15.5" x14ac:dyDescent="0.3">
      <c r="A38" s="14"/>
    </row>
    <row r="39" spans="1:1" ht="15.5" x14ac:dyDescent="0.3">
      <c r="A39" s="14"/>
    </row>
    <row r="40" spans="1:1" ht="15.5" x14ac:dyDescent="0.3">
      <c r="A40" s="14"/>
    </row>
    <row r="41" spans="1:1" ht="15.5" x14ac:dyDescent="0.3">
      <c r="A41" s="14"/>
    </row>
    <row r="42" spans="1:1" ht="15.5" x14ac:dyDescent="0.3">
      <c r="A42" s="14"/>
    </row>
    <row r="43" spans="1:1" ht="15.5" x14ac:dyDescent="0.3">
      <c r="A43" s="14"/>
    </row>
    <row r="44" spans="1:1" ht="15.5" x14ac:dyDescent="0.3">
      <c r="A44" s="14"/>
    </row>
    <row r="45" spans="1:1" ht="15.5" x14ac:dyDescent="0.3">
      <c r="A45" s="14"/>
    </row>
    <row r="46" spans="1:1" ht="15.5" x14ac:dyDescent="0.3">
      <c r="A46" s="14"/>
    </row>
    <row r="47" spans="1:1" ht="15.5" x14ac:dyDescent="0.3">
      <c r="A47" s="17"/>
    </row>
    <row r="48" spans="1:1" ht="15.5" x14ac:dyDescent="0.3">
      <c r="A48" s="17"/>
    </row>
  </sheetData>
  <pageMargins left="0.25" right="0" top="0.75" bottom="0.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57C4-3AC0-470F-98EB-3FA6F8463D6C}">
  <dimension ref="A1:I29"/>
  <sheetViews>
    <sheetView workbookViewId="0">
      <selection activeCell="B18" sqref="B18"/>
    </sheetView>
  </sheetViews>
  <sheetFormatPr defaultColWidth="9" defaultRowHeight="13" x14ac:dyDescent="0.3"/>
  <cols>
    <col min="1" max="1" width="7.26953125" style="36" customWidth="1"/>
    <col min="2" max="2" width="69.54296875" style="32" customWidth="1"/>
    <col min="3" max="3" width="68.54296875" style="32" customWidth="1"/>
    <col min="4" max="16384" width="9" style="32"/>
  </cols>
  <sheetData>
    <row r="1" spans="1:9" x14ac:dyDescent="0.3">
      <c r="B1" s="32" t="s">
        <v>143</v>
      </c>
    </row>
    <row r="2" spans="1:9" s="36" customFormat="1" x14ac:dyDescent="0.3">
      <c r="A2" s="44" t="s">
        <v>122</v>
      </c>
      <c r="B2" s="36" t="s">
        <v>139</v>
      </c>
      <c r="C2" s="36" t="s">
        <v>123</v>
      </c>
    </row>
    <row r="3" spans="1:9" ht="39" x14ac:dyDescent="0.3">
      <c r="A3" s="45">
        <v>2</v>
      </c>
      <c r="B3" s="46" t="s">
        <v>124</v>
      </c>
      <c r="C3" s="33" t="s">
        <v>125</v>
      </c>
    </row>
    <row r="4" spans="1:9" ht="26.5" x14ac:dyDescent="0.35">
      <c r="A4" s="44">
        <v>3</v>
      </c>
      <c r="B4" s="46" t="s">
        <v>12</v>
      </c>
      <c r="C4" s="33" t="s">
        <v>126</v>
      </c>
      <c r="D4" s="41"/>
      <c r="E4" s="41"/>
      <c r="F4" s="41"/>
      <c r="G4" s="41"/>
      <c r="H4" s="41"/>
      <c r="I4" s="41"/>
    </row>
    <row r="5" spans="1:9" ht="26.5" x14ac:dyDescent="0.35">
      <c r="A5" s="44">
        <v>3</v>
      </c>
      <c r="B5" s="47" t="s">
        <v>128</v>
      </c>
      <c r="C5" s="33" t="s">
        <v>127</v>
      </c>
      <c r="D5" s="4"/>
      <c r="E5" s="4"/>
      <c r="F5" s="4"/>
      <c r="G5" s="4"/>
      <c r="H5" s="4"/>
      <c r="I5" s="4"/>
    </row>
    <row r="6" spans="1:9" ht="15.5" x14ac:dyDescent="0.35">
      <c r="C6" s="9"/>
      <c r="D6" s="41"/>
      <c r="E6" s="41"/>
      <c r="F6" s="41"/>
      <c r="G6" s="41"/>
      <c r="H6" s="41"/>
      <c r="I6" s="41"/>
    </row>
    <row r="7" spans="1:9" ht="15.5" x14ac:dyDescent="0.35">
      <c r="A7" s="37"/>
      <c r="C7" s="34"/>
      <c r="D7" s="4"/>
      <c r="E7" s="4"/>
    </row>
    <row r="8" spans="1:9" ht="15.5" x14ac:dyDescent="0.35">
      <c r="A8" s="36" t="s">
        <v>122</v>
      </c>
      <c r="B8" s="36" t="s">
        <v>139</v>
      </c>
      <c r="C8" s="36" t="s">
        <v>123</v>
      </c>
      <c r="D8" s="41"/>
      <c r="E8" s="41"/>
      <c r="F8" s="41"/>
      <c r="G8" s="41"/>
      <c r="H8" s="41"/>
      <c r="I8" s="41"/>
    </row>
    <row r="9" spans="1:9" x14ac:dyDescent="0.3">
      <c r="A9" s="37"/>
      <c r="B9" s="33"/>
      <c r="C9" s="35"/>
      <c r="D9" s="33"/>
      <c r="E9" s="33"/>
      <c r="F9" s="33"/>
      <c r="G9" s="33"/>
      <c r="H9" s="33"/>
      <c r="I9" s="33"/>
    </row>
    <row r="10" spans="1:9" ht="15.5" x14ac:dyDescent="0.35">
      <c r="C10" s="34"/>
      <c r="D10" s="40"/>
      <c r="E10" s="40"/>
      <c r="F10" s="40"/>
      <c r="G10" s="40"/>
      <c r="H10" s="40"/>
      <c r="I10" s="40"/>
    </row>
    <row r="11" spans="1:9" ht="15.5" x14ac:dyDescent="0.35">
      <c r="B11" s="39"/>
      <c r="C11" s="9"/>
      <c r="D11" s="2"/>
      <c r="E11" s="2"/>
      <c r="F11" s="2"/>
      <c r="G11" s="2"/>
      <c r="H11" s="2"/>
    </row>
    <row r="12" spans="1:9" ht="15.5" x14ac:dyDescent="0.35">
      <c r="B12" s="33"/>
      <c r="C12" s="34"/>
      <c r="D12" s="4"/>
      <c r="E12" s="4"/>
      <c r="F12" s="4"/>
      <c r="G12" s="4"/>
      <c r="H12" s="4"/>
      <c r="I12" s="4"/>
    </row>
    <row r="13" spans="1:9" ht="15.5" x14ac:dyDescent="0.35">
      <c r="B13" s="33"/>
      <c r="C13" s="34"/>
      <c r="D13" s="4"/>
      <c r="E13" s="4"/>
      <c r="F13" s="4"/>
      <c r="G13" s="4"/>
      <c r="H13" s="4"/>
      <c r="I13" s="4"/>
    </row>
    <row r="14" spans="1:9" ht="15.5" x14ac:dyDescent="0.35">
      <c r="C14" s="9"/>
      <c r="D14" s="4"/>
      <c r="E14" s="4"/>
      <c r="F14" s="4"/>
      <c r="G14" s="4"/>
      <c r="H14" s="4"/>
      <c r="I14" s="33"/>
    </row>
    <row r="15" spans="1:9" ht="15.5" x14ac:dyDescent="0.35">
      <c r="B15" s="38"/>
      <c r="C15" s="9"/>
      <c r="D15" s="4"/>
      <c r="E15" s="4"/>
      <c r="F15" s="4"/>
      <c r="G15" s="4"/>
      <c r="H15" s="4"/>
      <c r="I15" s="33"/>
    </row>
    <row r="16" spans="1:9" ht="15.5" x14ac:dyDescent="0.35">
      <c r="B16" s="33"/>
      <c r="C16" s="34"/>
      <c r="D16" s="40"/>
      <c r="E16" s="40"/>
      <c r="F16" s="40"/>
      <c r="G16" s="40"/>
      <c r="H16" s="40"/>
      <c r="I16" s="40"/>
    </row>
    <row r="17" spans="2:6" ht="15.5" x14ac:dyDescent="0.35">
      <c r="B17" s="39"/>
      <c r="C17" s="9"/>
      <c r="D17" s="2"/>
      <c r="E17" s="2"/>
      <c r="F17" s="2"/>
    </row>
    <row r="18" spans="2:6" x14ac:dyDescent="0.3">
      <c r="C18" s="9"/>
    </row>
    <row r="19" spans="2:6" x14ac:dyDescent="0.3">
      <c r="C19" s="9"/>
    </row>
    <row r="20" spans="2:6" x14ac:dyDescent="0.3">
      <c r="C20" s="9"/>
    </row>
    <row r="21" spans="2:6" x14ac:dyDescent="0.3">
      <c r="C21" s="9"/>
    </row>
    <row r="22" spans="2:6" x14ac:dyDescent="0.3">
      <c r="C22" s="9"/>
    </row>
    <row r="23" spans="2:6" x14ac:dyDescent="0.3">
      <c r="C23" s="9"/>
    </row>
    <row r="24" spans="2:6" x14ac:dyDescent="0.3">
      <c r="C24" s="9"/>
    </row>
    <row r="25" spans="2:6" x14ac:dyDescent="0.3">
      <c r="C25" s="9"/>
    </row>
    <row r="26" spans="2:6" x14ac:dyDescent="0.3">
      <c r="C26" s="9"/>
    </row>
    <row r="27" spans="2:6" x14ac:dyDescent="0.3">
      <c r="C27" s="9"/>
    </row>
    <row r="28" spans="2:6" x14ac:dyDescent="0.3">
      <c r="C28" s="9"/>
    </row>
    <row r="29" spans="2:6" x14ac:dyDescent="0.3">
      <c r="C29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61D11825F5D046A477E26515A182F2" ma:contentTypeVersion="9" ma:contentTypeDescription="Create a new document." ma:contentTypeScope="" ma:versionID="3622671df62f7e4169899e7a3714c732">
  <xsd:schema xmlns:xsd="http://www.w3.org/2001/XMLSchema" xmlns:xs="http://www.w3.org/2001/XMLSchema" xmlns:p="http://schemas.microsoft.com/office/2006/metadata/properties" xmlns:ns3="53b054a9-11da-475e-8328-e3958f984fa6" xmlns:ns4="21083c9d-25e0-44ea-8734-c9f9b90bbb43" targetNamespace="http://schemas.microsoft.com/office/2006/metadata/properties" ma:root="true" ma:fieldsID="ce323783519a27b1e157281100d7353d" ns3:_="" ns4:_="">
    <xsd:import namespace="53b054a9-11da-475e-8328-e3958f984fa6"/>
    <xsd:import namespace="21083c9d-25e0-44ea-8734-c9f9b90bbb4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054a9-11da-475e-8328-e3958f984f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83c9d-25e0-44ea-8734-c9f9b90bb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549AC3-2647-40B4-B9C6-D39A5F4F3E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b054a9-11da-475e-8328-e3958f984fa6"/>
    <ds:schemaRef ds:uri="21083c9d-25e0-44ea-8734-c9f9b90bb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BB7BEB-7600-4D6A-AC91-4E15BCBE18DC}">
  <ds:schemaRefs>
    <ds:schemaRef ds:uri="http://www.w3.org/XML/1998/namespace"/>
    <ds:schemaRef ds:uri="http://schemas.microsoft.com/office/2006/documentManagement/types"/>
    <ds:schemaRef ds:uri="http://purl.org/dc/terms/"/>
    <ds:schemaRef ds:uri="21083c9d-25e0-44ea-8734-c9f9b90bbb43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3b054a9-11da-475e-8328-e3958f984fa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262AF3E-3347-4806-9E82-D1E75B9DF0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Scale Criteria</vt:lpstr>
      <vt:lpstr>Eval. &amp; Observ. Results</vt:lpstr>
      <vt:lpstr>Eval. &amp; Obser. Criteria</vt:lpstr>
      <vt:lpstr>Notes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Sanut, Alfredo [AUTOSOL/RAS/HSTN]</dc:creator>
  <cp:lastModifiedBy>Leventhal, Kenneth</cp:lastModifiedBy>
  <cp:lastPrinted>2020-02-17T18:20:38Z</cp:lastPrinted>
  <dcterms:created xsi:type="dcterms:W3CDTF">2019-12-23T14:46:50Z</dcterms:created>
  <dcterms:modified xsi:type="dcterms:W3CDTF">2026-01-05T19:34:18Z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0x0101006461D11825F5D046A477E26515A182F2</vt:lpwstr>
  </property>
</Properties>
</file>